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SSUMPTIONS" sheetId="2" state="visible" r:id="rId2"/>
    <sheet name="EMPLOYEE_DATA" sheetId="3" state="visible" r:id="rId3"/>
    <sheet name="TAX_NI_TABLES" sheetId="4" state="visible" r:id="rId4"/>
    <sheet name="CALC_ENGINE" sheetId="5" state="visible" r:id="rId5"/>
    <sheet name="EMPLOYEE_IMPACT" sheetId="6" state="visible" r:id="rId6"/>
    <sheet name="EMPLOYER_ANALYSIS" sheetId="7" state="visible" r:id="rId7"/>
    <sheet name="DEPT_SUMMARY" sheetId="8" state="visible" r:id="rId8"/>
    <sheet name="SCENARIO_COMPARISON" sheetId="9" state="visible" r:id="rId9"/>
    <sheet name="AUDIT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£#,##0"/>
    <numFmt numFmtId="165" formatCode="DD/MM/YYYY"/>
    <numFmt numFmtId="166" formatCode="0.0%"/>
    <numFmt numFmtId="167" formatCode="£#,##0.0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2"/>
    </font>
    <font>
      <name val="Calibri"/>
      <color rgb="00404040"/>
      <sz val="11"/>
    </font>
    <font>
      <name val="Calibri"/>
      <b val="1"/>
      <color rgb="00FFFFFF"/>
      <sz val="11"/>
    </font>
    <font>
      <name val="Calibri"/>
      <i val="1"/>
      <color rgb="00404040"/>
      <sz val="9"/>
    </font>
    <font>
      <name val="Calibri"/>
      <b val="1"/>
      <color rgb="00FFFFFF"/>
      <sz val="13"/>
    </font>
    <font>
      <name val="Calibri"/>
      <color rgb="00404040"/>
      <sz val="10"/>
    </font>
    <font>
      <name val="Calibri"/>
      <b val="1"/>
      <color rgb="00404040"/>
      <sz val="10"/>
    </font>
    <font>
      <name val="Calibri"/>
      <b val="1"/>
      <color rgb="00404040"/>
      <sz val="11"/>
    </font>
    <font>
      <name val="Calibri"/>
      <i val="1"/>
      <color rgb="00808080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375623"/>
      <sz val="10"/>
    </font>
    <font>
      <name val="Calibri"/>
      <i val="1"/>
      <color rgb="00404040"/>
      <sz val="10"/>
    </font>
    <font>
      <name val="Calibri"/>
      <color rgb="00C00000"/>
      <sz val="10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404040"/>
      <sz val="9"/>
    </font>
  </fonts>
  <fills count="2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99"/>
      </patternFill>
    </fill>
    <fill>
      <patternFill patternType="solid">
        <fgColor rgb="00FFCCCC"/>
      </patternFill>
    </fill>
    <fill>
      <patternFill patternType="solid">
        <fgColor rgb="00D9EFD3"/>
      </patternFill>
    </fill>
    <fill>
      <patternFill patternType="solid">
        <fgColor rgb="00FDEBD0"/>
      </patternFill>
    </fill>
    <fill>
      <patternFill patternType="solid">
        <fgColor rgb="00FFFACC"/>
      </patternFill>
    </fill>
    <fill>
      <patternFill patternType="solid">
        <fgColor rgb="00D6E4F0"/>
      </patternFill>
    </fill>
    <fill>
      <patternFill patternType="solid">
        <fgColor rgb="00FFE0E0"/>
      </patternFill>
    </fill>
    <fill>
      <patternFill patternType="solid">
        <fgColor rgb="00808080"/>
      </patternFill>
    </fill>
    <fill>
      <patternFill patternType="solid">
        <fgColor rgb="00FFE8E8"/>
      </patternFill>
    </fill>
    <fill>
      <patternFill patternType="solid">
        <fgColor rgb="007F3206"/>
      </patternFill>
    </fill>
  </fills>
  <borders count="27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/>
      <right/>
      <top style="medium">
        <color rgb="002E75B6"/>
      </top>
      <bottom/>
      <diagonal/>
    </border>
    <border>
      <left/>
      <right style="medium">
        <color rgb="002E75B6"/>
      </right>
      <top style="medium">
        <color rgb="002E75B6"/>
      </top>
      <bottom/>
      <diagonal/>
    </border>
    <border>
      <left/>
      <right/>
      <top style="medium">
        <color rgb="002E75B6"/>
      </top>
      <bottom style="medium">
        <color rgb="002E75B6"/>
      </bottom>
      <diagonal/>
    </border>
    <border>
      <left/>
      <right style="medium">
        <color rgb="002E75B6"/>
      </right>
      <top style="medium">
        <color rgb="002E75B6"/>
      </top>
      <bottom style="medium">
        <color rgb="002E75B6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medium">
        <color rgb="00BFBFBF"/>
      </left>
      <right style="medium">
        <color rgb="00BFBFBF"/>
      </right>
      <top style="medium">
        <color rgb="00BFBFBF"/>
      </top>
      <bottom style="medium">
        <color rgb="00BFBFBF"/>
      </bottom>
    </border>
    <border>
      <left style="medium">
        <color rgb="00C55A11"/>
      </left>
      <right style="medium">
        <color rgb="00C55A11"/>
      </right>
      <top style="medium">
        <color rgb="00C55A11"/>
      </top>
      <bottom style="medium">
        <color rgb="00C55A11"/>
      </bottom>
    </border>
    <border>
      <left/>
      <right/>
      <top style="medium">
        <color rgb="00C55A11"/>
      </top>
      <bottom/>
      <diagonal/>
    </border>
    <border>
      <left/>
      <right style="medium">
        <color rgb="00C55A11"/>
      </right>
      <top style="medium">
        <color rgb="00C55A11"/>
      </top>
      <bottom/>
      <diagonal/>
    </border>
    <border>
      <left/>
      <right/>
      <top style="medium">
        <color rgb="00C55A11"/>
      </top>
      <bottom style="medium">
        <color rgb="00C55A11"/>
      </bottom>
      <diagonal/>
    </border>
    <border>
      <left/>
      <right style="medium">
        <color rgb="00C55A11"/>
      </right>
      <top style="medium">
        <color rgb="00C55A11"/>
      </top>
      <bottom style="medium">
        <color rgb="00C55A11"/>
      </bottom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  <border>
      <left/>
      <right/>
      <top style="medium">
        <color rgb="00C00000"/>
      </top>
      <bottom/>
      <diagonal/>
    </border>
    <border>
      <left/>
      <right style="medium">
        <color rgb="00C00000"/>
      </right>
      <top style="medium">
        <color rgb="00C00000"/>
      </top>
      <bottom/>
      <diagonal/>
    </border>
    <border>
      <left/>
      <right/>
      <top style="medium">
        <color rgb="00C00000"/>
      </top>
      <bottom style="medium">
        <color rgb="00C00000"/>
      </bottom>
      <diagonal/>
    </border>
    <border>
      <left/>
      <right style="medium">
        <color rgb="00C00000"/>
      </right>
      <top style="medium">
        <color rgb="00C00000"/>
      </top>
      <bottom style="medium">
        <color rgb="00C00000"/>
      </bottom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13" fillId="3" borderId="6" applyAlignment="1" pivotButton="0" quotePrefix="0" xfId="0">
      <alignment horizontal="center" vertical="center"/>
    </xf>
    <xf numFmtId="164" fontId="17" fillId="2" borderId="6" applyAlignment="1" pivotButton="0" quotePrefix="0" xfId="0">
      <alignment horizontal="center" vertical="center"/>
    </xf>
    <xf numFmtId="166" fontId="17" fillId="2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/>
    </xf>
    <xf numFmtId="0" fontId="13" fillId="11" borderId="6" applyAlignment="1" pivotButton="0" quotePrefix="0" xfId="0">
      <alignment horizontal="center" vertical="center"/>
    </xf>
    <xf numFmtId="164" fontId="17" fillId="24" borderId="6" applyAlignment="1" pivotButton="0" quotePrefix="0" xfId="0">
      <alignment horizontal="center" vertical="center"/>
    </xf>
    <xf numFmtId="0" fontId="19" fillId="0" borderId="0" pivotButton="0" quotePrefix="0" xfId="0"/>
    <xf numFmtId="164" fontId="0" fillId="0" borderId="0" pivotButton="0" quotePrefix="0" xfId="0"/>
    <xf numFmtId="0" fontId="15" fillId="5" borderId="1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6" applyAlignment="1" pivotButton="0" quotePrefix="0" xfId="0">
      <alignment horizontal="left" vertical="center"/>
    </xf>
    <xf numFmtId="49" fontId="4" fillId="5" borderId="6" applyAlignment="1" pivotButton="0" quotePrefix="0" xfId="0">
      <alignment horizontal="right" vertical="center"/>
    </xf>
    <xf numFmtId="3" fontId="4" fillId="5" borderId="6" applyAlignment="1" pivotButton="0" quotePrefix="0" xfId="0">
      <alignment horizontal="right" vertical="center"/>
    </xf>
    <xf numFmtId="0" fontId="5" fillId="3" borderId="6" applyAlignment="1" pivotButton="0" quotePrefix="0" xfId="0">
      <alignment horizontal="center" vertical="center" wrapText="1"/>
    </xf>
    <xf numFmtId="164" fontId="4" fillId="5" borderId="6" applyAlignment="1" pivotButton="0" quotePrefix="0" xfId="0">
      <alignment horizontal="right" vertical="center"/>
    </xf>
    <xf numFmtId="10" fontId="4" fillId="5" borderId="6" applyAlignment="1" pivotButton="0" quotePrefix="0" xfId="0">
      <alignment horizontal="right" vertical="center"/>
    </xf>
    <xf numFmtId="4" fontId="4" fillId="5" borderId="6" applyAlignment="1" pivotButton="0" quotePrefix="0" xfId="0">
      <alignment horizontal="right" vertical="center"/>
    </xf>
    <xf numFmtId="0" fontId="4" fillId="6" borderId="6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49" fontId="8" fillId="5" borderId="6" applyAlignment="1" pivotButton="0" quotePrefix="0" xfId="0">
      <alignment horizontal="left" vertical="center"/>
    </xf>
    <xf numFmtId="165" fontId="8" fillId="5" borderId="6" applyAlignment="1" pivotButton="0" quotePrefix="0" xfId="0">
      <alignment horizontal="left" vertical="center"/>
    </xf>
    <xf numFmtId="164" fontId="8" fillId="5" borderId="6" applyAlignment="1" pivotButton="0" quotePrefix="0" xfId="0">
      <alignment horizontal="right" vertical="center"/>
    </xf>
    <xf numFmtId="164" fontId="9" fillId="7" borderId="6" applyAlignment="1" pivotButton="0" quotePrefix="0" xfId="0">
      <alignment horizontal="right" vertical="center"/>
    </xf>
    <xf numFmtId="10" fontId="8" fillId="5" borderId="6" applyAlignment="1" pivotButton="0" quotePrefix="0" xfId="0">
      <alignment horizontal="right" vertical="center"/>
    </xf>
    <xf numFmtId="0" fontId="8" fillId="5" borderId="6" applyAlignment="1" pivotButton="0" quotePrefix="0" xfId="0">
      <alignment horizontal="center" vertical="center"/>
    </xf>
    <xf numFmtId="0" fontId="8" fillId="8" borderId="6" pivotButton="0" quotePrefix="0" xfId="0"/>
    <xf numFmtId="0" fontId="5" fillId="2" borderId="6" applyAlignment="1" pivotButton="0" quotePrefix="0" xfId="0">
      <alignment horizontal="right" vertical="center"/>
    </xf>
    <xf numFmtId="164" fontId="5" fillId="2" borderId="6" applyAlignment="1" pivotButton="0" quotePrefix="0" xfId="0">
      <alignment horizontal="right" vertical="center"/>
    </xf>
    <xf numFmtId="164" fontId="4" fillId="7" borderId="6" applyAlignment="1" pivotButton="0" quotePrefix="0" xfId="0">
      <alignment horizontal="right" vertical="center"/>
    </xf>
    <xf numFmtId="164" fontId="10" fillId="7" borderId="6" applyAlignment="1" pivotButton="0" quotePrefix="0" xfId="0">
      <alignment horizontal="right" vertical="center"/>
    </xf>
    <xf numFmtId="0" fontId="11" fillId="6" borderId="6" applyAlignment="1" pivotButton="0" quotePrefix="0" xfId="0">
      <alignment horizontal="left" vertical="center"/>
    </xf>
    <xf numFmtId="10" fontId="4" fillId="7" borderId="6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12" fillId="3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2" fillId="9" borderId="6" applyAlignment="1" pivotButton="0" quotePrefix="0" xfId="0">
      <alignment horizontal="center" vertical="center" wrapText="1"/>
    </xf>
    <xf numFmtId="0" fontId="12" fillId="10" borderId="6" applyAlignment="1" pivotButton="0" quotePrefix="0" xfId="0">
      <alignment horizontal="center" vertical="center" wrapText="1"/>
    </xf>
    <xf numFmtId="0" fontId="12" fillId="11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2" fillId="12" borderId="6" applyAlignment="1" pivotButton="0" quotePrefix="0" xfId="0">
      <alignment horizontal="center" vertical="center" wrapText="1"/>
    </xf>
    <xf numFmtId="49" fontId="8" fillId="4" borderId="6" applyAlignment="1" pivotButton="0" quotePrefix="0" xfId="0">
      <alignment horizontal="left" vertical="center"/>
    </xf>
    <xf numFmtId="164" fontId="8" fillId="4" borderId="6" applyAlignment="1" pivotButton="0" quotePrefix="0" xfId="0">
      <alignment horizontal="right" vertical="center"/>
    </xf>
    <xf numFmtId="164" fontId="9" fillId="4" borderId="6" applyAlignment="1" pivotButton="0" quotePrefix="0" xfId="0">
      <alignment horizontal="right" vertical="center"/>
    </xf>
    <xf numFmtId="49" fontId="8" fillId="7" borderId="6" applyAlignment="1" pivotButton="0" quotePrefix="0" xfId="0">
      <alignment horizontal="left" vertical="center"/>
    </xf>
    <xf numFmtId="164" fontId="8" fillId="7" borderId="6" applyAlignment="1" pivotButton="0" quotePrefix="0" xfId="0">
      <alignment horizontal="right" vertical="center"/>
    </xf>
    <xf numFmtId="10" fontId="8" fillId="4" borderId="6" applyAlignment="1" pivotButton="0" quotePrefix="0" xfId="0">
      <alignment horizontal="right" vertical="center"/>
    </xf>
    <xf numFmtId="164" fontId="8" fillId="13" borderId="6" applyAlignment="1" pivotButton="0" quotePrefix="0" xfId="0">
      <alignment horizontal="right" vertical="center"/>
    </xf>
    <xf numFmtId="164" fontId="9" fillId="13" borderId="6" applyAlignment="1" pivotButton="0" quotePrefix="0" xfId="0">
      <alignment horizontal="right" vertical="center"/>
    </xf>
    <xf numFmtId="164" fontId="8" fillId="14" borderId="6" applyAlignment="1" pivotButton="0" quotePrefix="0" xfId="0">
      <alignment horizontal="right" vertical="center"/>
    </xf>
    <xf numFmtId="164" fontId="9" fillId="14" borderId="6" applyAlignment="1" pivotButton="0" quotePrefix="0" xfId="0">
      <alignment horizontal="right" vertical="center"/>
    </xf>
    <xf numFmtId="164" fontId="9" fillId="15" borderId="6" applyAlignment="1" pivotButton="0" quotePrefix="0" xfId="0">
      <alignment horizontal="right" vertical="center"/>
    </xf>
    <xf numFmtId="10" fontId="8" fillId="7" borderId="6" applyAlignment="1" pivotButton="0" quotePrefix="0" xfId="0">
      <alignment horizontal="right" vertical="center"/>
    </xf>
    <xf numFmtId="49" fontId="8" fillId="16" borderId="6" applyAlignment="1" pivotButton="0" quotePrefix="0" xfId="0">
      <alignment horizontal="left" vertical="center"/>
    </xf>
    <xf numFmtId="49" fontId="8" fillId="8" borderId="6" applyAlignment="1" pivotButton="0" quotePrefix="0" xfId="0">
      <alignment horizontal="left" vertical="center"/>
    </xf>
    <xf numFmtId="164" fontId="8" fillId="8" borderId="6" applyAlignment="1" pivotButton="0" quotePrefix="0" xfId="0">
      <alignment horizontal="right" vertical="center"/>
    </xf>
    <xf numFmtId="164" fontId="9" fillId="8" borderId="6" applyAlignment="1" pivotButton="0" quotePrefix="0" xfId="0">
      <alignment horizontal="right" vertical="center"/>
    </xf>
    <xf numFmtId="10" fontId="8" fillId="8" borderId="6" applyAlignment="1" pivotButton="0" quotePrefix="0" xfId="0">
      <alignment horizontal="right" vertical="center"/>
    </xf>
    <xf numFmtId="164" fontId="8" fillId="17" borderId="6" applyAlignment="1" pivotButton="0" quotePrefix="0" xfId="0">
      <alignment horizontal="right" vertical="center"/>
    </xf>
    <xf numFmtId="164" fontId="9" fillId="17" borderId="6" applyAlignment="1" pivotButton="0" quotePrefix="0" xfId="0">
      <alignment horizontal="right" vertical="center"/>
    </xf>
    <xf numFmtId="164" fontId="8" fillId="18" borderId="6" applyAlignment="1" pivotButton="0" quotePrefix="0" xfId="0">
      <alignment horizontal="right" vertical="center"/>
    </xf>
    <xf numFmtId="164" fontId="9" fillId="18" borderId="6" applyAlignment="1" pivotButton="0" quotePrefix="0" xfId="0">
      <alignment horizontal="right" vertical="center"/>
    </xf>
    <xf numFmtId="164" fontId="9" fillId="19" borderId="6" applyAlignment="1" pivotButton="0" quotePrefix="0" xfId="0">
      <alignment horizontal="right" vertical="center"/>
    </xf>
    <xf numFmtId="164" fontId="9" fillId="20" borderId="6" applyAlignment="1" pivotButton="0" quotePrefix="0" xfId="0">
      <alignment horizontal="right" vertical="center"/>
    </xf>
    <xf numFmtId="10" fontId="8" fillId="20" borderId="6" applyAlignment="1" pivotButton="0" quotePrefix="0" xfId="0">
      <alignment horizontal="right" vertical="center"/>
    </xf>
    <xf numFmtId="164" fontId="8" fillId="20" borderId="6" applyAlignment="1" pivotButton="0" quotePrefix="0" xfId="0">
      <alignment horizontal="right" vertical="center"/>
    </xf>
    <xf numFmtId="49" fontId="8" fillId="20" borderId="6" applyAlignment="1" pivotButton="0" quotePrefix="0" xfId="0">
      <alignment horizontal="left" vertical="center"/>
    </xf>
    <xf numFmtId="49" fontId="8" fillId="21" borderId="6" applyAlignment="1" pivotButton="0" quotePrefix="0" xfId="0">
      <alignment horizontal="left" vertical="center"/>
    </xf>
    <xf numFmtId="0" fontId="5" fillId="2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right" vertical="center"/>
    </xf>
    <xf numFmtId="10" fontId="5" fillId="2" borderId="1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13" fillId="3" borderId="6" applyAlignment="1" pivotButton="0" quotePrefix="0" xfId="0">
      <alignment horizontal="center" vertical="center" wrapText="1"/>
    </xf>
    <xf numFmtId="0" fontId="13" fillId="10" borderId="6" applyAlignment="1" pivotButton="0" quotePrefix="0" xfId="0">
      <alignment horizontal="center" vertical="center" wrapText="1"/>
    </xf>
    <xf numFmtId="49" fontId="8" fillId="4" borderId="6" applyAlignment="1" pivotButton="0" quotePrefix="0" xfId="0">
      <alignment horizontal="right" vertical="center"/>
    </xf>
    <xf numFmtId="166" fontId="9" fillId="13" borderId="6" applyAlignment="1" pivotButton="0" quotePrefix="0" xfId="0">
      <alignment horizontal="right" vertical="center"/>
    </xf>
    <xf numFmtId="164" fontId="14" fillId="13" borderId="6" applyAlignment="1" pivotButton="0" quotePrefix="0" xfId="0">
      <alignment horizontal="right" vertical="center"/>
    </xf>
    <xf numFmtId="49" fontId="8" fillId="8" borderId="6" applyAlignment="1" pivotButton="0" quotePrefix="0" xfId="0">
      <alignment horizontal="right" vertical="center"/>
    </xf>
    <xf numFmtId="166" fontId="9" fillId="17" borderId="6" applyAlignment="1" pivotButton="0" quotePrefix="0" xfId="0">
      <alignment horizontal="right" vertical="center"/>
    </xf>
    <xf numFmtId="164" fontId="14" fillId="17" borderId="6" applyAlignment="1" pivotButton="0" quotePrefix="0" xfId="0">
      <alignment horizontal="right" vertical="center"/>
    </xf>
    <xf numFmtId="166" fontId="5" fillId="2" borderId="1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13" fillId="2" borderId="6" applyAlignment="1" pivotButton="0" quotePrefix="0" xfId="0">
      <alignment horizontal="center" vertical="center" wrapText="1"/>
    </xf>
    <xf numFmtId="0" fontId="8" fillId="8" borderId="6" applyAlignment="1" pivotButton="0" quotePrefix="0" xfId="0">
      <alignment horizontal="left" vertical="center"/>
    </xf>
    <xf numFmtId="0" fontId="8" fillId="4" borderId="6" applyAlignment="1" pivotButton="0" quotePrefix="0" xfId="0">
      <alignment horizontal="left" vertical="center"/>
    </xf>
    <xf numFmtId="0" fontId="9" fillId="7" borderId="6" applyAlignment="1" pivotButton="0" quotePrefix="0" xfId="0">
      <alignment horizontal="left" vertical="center"/>
    </xf>
    <xf numFmtId="164" fontId="9" fillId="5" borderId="6" applyAlignment="1" pivotButton="0" quotePrefix="0" xfId="0">
      <alignment horizontal="right" vertical="center"/>
    </xf>
    <xf numFmtId="0" fontId="9" fillId="7" borderId="6" applyAlignment="1" pivotButton="0" quotePrefix="0" xfId="0">
      <alignment horizontal="right" vertical="center"/>
    </xf>
    <xf numFmtId="0" fontId="8" fillId="4" borderId="6" applyAlignment="1" pivotButton="0" quotePrefix="0" xfId="0">
      <alignment horizontal="right" vertical="center"/>
    </xf>
    <xf numFmtId="0" fontId="8" fillId="8" borderId="6" applyAlignment="1" pivotButton="0" quotePrefix="0" xfId="0">
      <alignment horizontal="right" vertical="center"/>
    </xf>
    <xf numFmtId="0" fontId="5" fillId="11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167" fontId="8" fillId="8" borderId="6" applyAlignment="1" pivotButton="0" quotePrefix="0" xfId="0">
      <alignment horizontal="right" vertical="center"/>
    </xf>
    <xf numFmtId="167" fontId="8" fillId="4" borderId="6" applyAlignment="1" pivotButton="0" quotePrefix="0" xfId="0">
      <alignment horizontal="right" vertical="center"/>
    </xf>
    <xf numFmtId="3" fontId="8" fillId="4" borderId="6" applyAlignment="1" pivotButton="0" quotePrefix="0" xfId="0">
      <alignment horizontal="right" vertical="center"/>
    </xf>
    <xf numFmtId="3" fontId="8" fillId="8" borderId="6" applyAlignment="1" pivotButton="0" quotePrefix="0" xfId="0">
      <alignment horizontal="right" vertical="center"/>
    </xf>
    <xf numFmtId="0" fontId="9" fillId="4" borderId="6" applyAlignment="1" pivotButton="0" quotePrefix="0" xfId="0">
      <alignment horizontal="left" vertical="center"/>
    </xf>
    <xf numFmtId="0" fontId="9" fillId="8" borderId="6" applyAlignment="1" pivotButton="0" quotePrefix="0" xfId="0">
      <alignment horizontal="left" vertical="center"/>
    </xf>
    <xf numFmtId="3" fontId="5" fillId="2" borderId="11" applyAlignment="1" pivotButton="0" quotePrefix="0" xfId="0">
      <alignment horizontal="right" vertical="center"/>
    </xf>
    <xf numFmtId="0" fontId="13" fillId="11" borderId="6" applyAlignment="1" pivotButton="0" quotePrefix="0" xfId="0">
      <alignment horizontal="center" vertical="center" wrapText="1"/>
    </xf>
    <xf numFmtId="0" fontId="13" fillId="22" borderId="6" applyAlignment="1" pivotButton="0" quotePrefix="0" xfId="0">
      <alignment horizontal="center" vertical="center" wrapText="1"/>
    </xf>
    <xf numFmtId="49" fontId="8" fillId="5" borderId="6" applyAlignment="1" pivotButton="0" quotePrefix="0" xfId="0">
      <alignment horizontal="right" vertical="center"/>
    </xf>
    <xf numFmtId="0" fontId="5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11" fillId="6" borderId="6" applyAlignment="1" pivotButton="0" quotePrefix="0" xfId="0">
      <alignment horizontal="center" vertical="center" wrapText="1"/>
    </xf>
    <xf numFmtId="0" fontId="15" fillId="5" borderId="6" applyAlignment="1" pivotButton="0" quotePrefix="0" xfId="0">
      <alignment horizontal="left" vertical="center" wrapText="1"/>
    </xf>
    <xf numFmtId="0" fontId="7" fillId="12" borderId="0" applyAlignment="1" pivotButton="0" quotePrefix="0" xfId="0">
      <alignment horizontal="center" vertical="center"/>
    </xf>
    <xf numFmtId="0" fontId="9" fillId="13" borderId="6" applyAlignment="1" pivotButton="0" quotePrefix="0" xfId="0">
      <alignment horizontal="center" vertical="center"/>
    </xf>
    <xf numFmtId="0" fontId="5" fillId="12" borderId="22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26" pivotButton="0" quotePrefix="0" xfId="0"/>
    <xf numFmtId="0" fontId="16" fillId="21" borderId="6" applyAlignment="1" pivotButton="0" quotePrefix="0" xfId="0">
      <alignment horizontal="left" vertical="center" wrapText="1"/>
    </xf>
    <xf numFmtId="0" fontId="16" fillId="23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ER NI Saving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'DASHBOARD'!C14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'DASHBOARD'!$B$15:$B$19</f>
            </numRef>
          </cat>
          <val>
            <numRef>
              <f>'DASHBOARD'!$C$15:$C$19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£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 vs Post Sacrifice — Company Payroll Components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'DASHBOARD'!C22</f>
            </strRef>
          </tx>
          <spPr>
            <a:solidFill>
              <a:srgbClr val="375623"/>
            </a:solidFill>
            <a:ln>
              <a:prstDash val="solid"/>
            </a:ln>
          </spPr>
          <cat>
            <numRef>
              <f>'DASHBOARD'!$B$23:$B$27</f>
            </numRef>
          </cat>
          <val>
            <numRef>
              <f>'DASHBOARD'!$C$23:$C$27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£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Value — EE Pension vs ER Pension vs NI Share</a:t>
            </a:r>
          </a:p>
        </rich>
      </tx>
    </title>
    <plotArea>
      <pieChart>
        <varyColors val="1"/>
        <ser>
          <idx val="0"/>
          <order val="0"/>
          <tx>
            <strRef>
              <f>'DASHBOARD'!C30</f>
            </strRef>
          </tx>
          <spPr>
            <a:ln>
              <a:prstDash val="solid"/>
            </a:ln>
          </spPr>
          <cat>
            <numRef>
              <f>'DASHBOARD'!$B$31:$B$33</f>
            </numRef>
          </cat>
          <val>
            <numRef>
              <f>'DASHBOARD'!$C$31:$C$33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Individual Take-Home Change (Top 15 Employees)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'DASHBOARD'!C35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'DASHBOARD'!$B$36:$B$50</f>
            </numRef>
          </cat>
          <val>
            <numRef>
              <f>'DASHBOARD'!$C$36:$C$50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£ Change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Employee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13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28</row>
      <rowOff>0</rowOff>
    </from>
    <ext cx="504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28</row>
      <rowOff>0</rowOff>
    </from>
    <ext cx="64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" customWidth="1" min="26" max="26"/>
  </cols>
  <sheetData>
    <row r="1" ht="50" customHeight="1">
      <c r="A1" s="1" t="inlineStr">
        <is>
          <t>UK PENSION SALARY SACRIFICE MODEL  ·  EXECUTIVE DASHBOARD</t>
        </is>
      </c>
    </row>
    <row r="2" ht="22" customHeight="1">
      <c r="A2" s="2" t="inlineStr">
        <is>
          <t>Example Co Ltd  |  Tax Year 2024/25  |  25 Employees  |  Salary Sacrifice: Active  |  Data as at 09 May 2026</t>
        </is>
      </c>
    </row>
    <row r="4" ht="22" customHeight="1">
      <c r="B4" s="3" t="inlineStr">
        <is>
          <t>EMPLOYEE OUTCOMES</t>
        </is>
      </c>
    </row>
    <row r="5" ht="18" customHeight="1">
      <c r="B5" s="4" t="inlineStr">
        <is>
          <t>Total Take-Home (Post) £</t>
        </is>
      </c>
      <c r="F5" s="4" t="inlineStr">
        <is>
          <t>Avg Take-Home Change £</t>
        </is>
      </c>
      <c r="J5" s="4" t="inlineStr">
        <is>
          <t>Total EE Pension £</t>
        </is>
      </c>
      <c r="N5" s="4" t="inlineStr">
        <is>
          <t>Avg EE Tax Saving £</t>
        </is>
      </c>
      <c r="R5" s="4" t="inlineStr">
        <is>
          <t>Avg EE NI Saving £</t>
        </is>
      </c>
      <c r="V5" s="4" t="inlineStr">
        <is>
          <t>Participation Rate</t>
        </is>
      </c>
    </row>
    <row r="6" ht="36" customHeight="1">
      <c r="B6" s="5">
        <f>CALC_ENGINE!R29</f>
        <v/>
      </c>
      <c r="F6" s="5">
        <f>CALC_ENGINE!AJ29/25</f>
        <v/>
      </c>
      <c r="J6" s="5">
        <f>CALC_ENGINE!AB29</f>
        <v/>
      </c>
      <c r="N6" s="5">
        <f>(CALC_ENGINE!O29-CALC_ENGINE!Z29)/25</f>
        <v/>
      </c>
      <c r="R6" s="5">
        <f>(CALC_ENGINE!P29-CALC_ENGINE!AA29)/25</f>
        <v/>
      </c>
      <c r="V6" s="6">
        <f>COUNTIF(CALC_ENGINE!K4:K28,"Yes")/25</f>
        <v/>
      </c>
    </row>
    <row r="7" ht="16" customHeight="1">
      <c r="B7" s="7" t="inlineStr">
        <is>
          <t>Annual, all staff</t>
        </is>
      </c>
      <c r="F7" s="7" t="inlineStr">
        <is>
          <t>Per employee p.a.</t>
        </is>
      </c>
      <c r="J7" s="7" t="inlineStr">
        <is>
          <t>Salary sacrificed</t>
        </is>
      </c>
      <c r="N7" s="7" t="inlineStr">
        <is>
          <t>PAYE reduction</t>
        </is>
      </c>
      <c r="R7" s="7" t="inlineStr">
        <is>
          <t>NI reduction</t>
        </is>
      </c>
      <c r="V7" s="7" t="inlineStr">
        <is>
          <t>On salary sacrifice</t>
        </is>
      </c>
    </row>
    <row r="9" ht="22" customHeight="1">
      <c r="B9" s="8" t="inlineStr">
        <is>
          <t>EMPLOYER OUTCOMES</t>
        </is>
      </c>
    </row>
    <row r="10" ht="18" customHeight="1">
      <c r="B10" s="9" t="inlineStr">
        <is>
          <t>Total ER Cost (Post) £</t>
        </is>
      </c>
      <c r="F10" s="9" t="inlineStr">
        <is>
          <t>ER Cost Change £</t>
        </is>
      </c>
      <c r="J10" s="9" t="inlineStr">
        <is>
          <t>Gross ER NI Saving £</t>
        </is>
      </c>
      <c r="N10" s="9" t="inlineStr">
        <is>
          <t>NI Saving per EE £</t>
        </is>
      </c>
      <c r="R10" s="9" t="inlineStr">
        <is>
          <t>Total ER Pension £</t>
        </is>
      </c>
      <c r="V10" s="9" t="inlineStr">
        <is>
          <t>Total Pension to Scheme £</t>
        </is>
      </c>
    </row>
    <row r="11" ht="36" customHeight="1">
      <c r="B11" s="10">
        <f>CALC_ENGINE!AI29</f>
        <v/>
      </c>
      <c r="F11" s="10">
        <f>CALC_ENGINE!AI29-CALC_ENGINE!U29</f>
        <v/>
      </c>
      <c r="J11" s="10">
        <f>CALC_ENGINE!AF29</f>
        <v/>
      </c>
      <c r="N11" s="10">
        <f>CALC_ENGINE!AF29/25</f>
        <v/>
      </c>
      <c r="R11" s="10">
        <f>CALC_ENGINE!AD29</f>
        <v/>
      </c>
      <c r="V11" s="10">
        <f>CALC_ENGINE!AB29+CALC_ENGINE!AD29</f>
        <v/>
      </c>
    </row>
    <row r="12" ht="16" customHeight="1">
      <c r="B12" s="7" t="inlineStr">
        <is>
          <t>Salary+NI+Pension</t>
        </is>
      </c>
      <c r="F12" s="7" t="inlineStr">
        <is>
          <t>vs pre-sacrifice</t>
        </is>
      </c>
      <c r="J12" s="7" t="inlineStr">
        <is>
          <t>Annual saving</t>
        </is>
      </c>
      <c r="N12" s="7" t="inlineStr">
        <is>
          <t>Average per employee</t>
        </is>
      </c>
      <c r="R12" s="7" t="inlineStr">
        <is>
          <t>Employer contributions</t>
        </is>
      </c>
      <c r="V12" s="7" t="inlineStr">
        <is>
          <t>Combined EE+ER</t>
        </is>
      </c>
    </row>
    <row r="14">
      <c r="B14" s="11" t="inlineStr">
        <is>
          <t>Department</t>
        </is>
      </c>
      <c r="C14" s="11" t="inlineStr">
        <is>
          <t>ER NI Saving £</t>
        </is>
      </c>
      <c r="D14" s="11" t="inlineStr">
        <is>
          <t>EE Take-Home Chg £</t>
        </is>
      </c>
      <c r="E14" s="11" t="inlineStr">
        <is>
          <t>Total Pension £</t>
        </is>
      </c>
    </row>
    <row r="15">
      <c r="B15" t="inlineStr">
        <is>
          <t>Finance</t>
        </is>
      </c>
      <c r="C15" s="12">
        <f>DEPT_SUMMARY!I4</f>
        <v/>
      </c>
      <c r="D15" s="12">
        <f>DEPT_SUMMARY!J4</f>
        <v/>
      </c>
      <c r="E15" s="12">
        <f>DEPT_SUMMARY!H4</f>
        <v/>
      </c>
    </row>
    <row r="16">
      <c r="B16" t="inlineStr">
        <is>
          <t>HR</t>
        </is>
      </c>
      <c r="C16" s="12">
        <f>DEPT_SUMMARY!I5</f>
        <v/>
      </c>
      <c r="D16" s="12">
        <f>DEPT_SUMMARY!J5</f>
        <v/>
      </c>
      <c r="E16" s="12">
        <f>DEPT_SUMMARY!H5</f>
        <v/>
      </c>
    </row>
    <row r="17">
      <c r="B17" t="inlineStr">
        <is>
          <t>Operations</t>
        </is>
      </c>
      <c r="C17" s="12">
        <f>DEPT_SUMMARY!I6</f>
        <v/>
      </c>
      <c r="D17" s="12">
        <f>DEPT_SUMMARY!J6</f>
        <v/>
      </c>
      <c r="E17" s="12">
        <f>DEPT_SUMMARY!H6</f>
        <v/>
      </c>
    </row>
    <row r="18">
      <c r="B18" t="inlineStr">
        <is>
          <t>Sales</t>
        </is>
      </c>
      <c r="C18" s="12">
        <f>DEPT_SUMMARY!I7</f>
        <v/>
      </c>
      <c r="D18" s="12">
        <f>DEPT_SUMMARY!J7</f>
        <v/>
      </c>
      <c r="E18" s="12">
        <f>DEPT_SUMMARY!H7</f>
        <v/>
      </c>
    </row>
    <row r="19">
      <c r="B19" t="inlineStr">
        <is>
          <t>Tech</t>
        </is>
      </c>
      <c r="C19" s="12">
        <f>DEPT_SUMMARY!I8</f>
        <v/>
      </c>
      <c r="D19" s="12">
        <f>DEPT_SUMMARY!J8</f>
        <v/>
      </c>
      <c r="E19" s="12">
        <f>DEPT_SUMMARY!H8</f>
        <v/>
      </c>
    </row>
    <row r="22">
      <c r="B22" t="inlineStr">
        <is>
          <t>Metric</t>
        </is>
      </c>
      <c r="C22" t="inlineStr">
        <is>
          <t>Pre-Sacrifice £</t>
        </is>
      </c>
      <c r="D22" t="inlineStr">
        <is>
          <t>Post-Sacrifice £</t>
        </is>
      </c>
    </row>
    <row r="23">
      <c r="B23" t="inlineStr">
        <is>
          <t>PAYE Tax</t>
        </is>
      </c>
      <c r="C23" s="12">
        <f>CALC_ENGINE!O29</f>
        <v/>
      </c>
      <c r="D23" s="12">
        <f>CALC_ENGINE!Z29</f>
        <v/>
      </c>
    </row>
    <row r="24">
      <c r="B24" t="inlineStr">
        <is>
          <t>Employee NI</t>
        </is>
      </c>
      <c r="C24" s="12">
        <f>CALC_ENGINE!P29</f>
        <v/>
      </c>
      <c r="D24" s="12">
        <f>CALC_ENGINE!AA29</f>
        <v/>
      </c>
    </row>
    <row r="25">
      <c r="B25" t="inlineStr">
        <is>
          <t>EE Pension</t>
        </is>
      </c>
      <c r="C25" s="12">
        <f>CALC_ENGINE!Q29</f>
        <v/>
      </c>
      <c r="D25" s="12">
        <f>CALC_ENGINE!AB29</f>
        <v/>
      </c>
    </row>
    <row r="26">
      <c r="B26" t="inlineStr">
        <is>
          <t>ER Pension</t>
        </is>
      </c>
      <c r="C26" s="12">
        <f>CALC_ENGINE!S29</f>
        <v/>
      </c>
      <c r="D26" s="12">
        <f>CALC_ENGINE!AD29</f>
        <v/>
      </c>
    </row>
    <row r="27">
      <c r="B27" t="inlineStr">
        <is>
          <t>ER NI</t>
        </is>
      </c>
      <c r="C27" s="12">
        <f>CALC_ENGINE!T29</f>
        <v/>
      </c>
      <c r="D27" s="12">
        <f>CALC_ENGINE!AE29</f>
        <v/>
      </c>
    </row>
    <row r="30">
      <c r="B30" t="inlineStr">
        <is>
          <t>Component</t>
        </is>
      </c>
      <c r="C30" t="inlineStr">
        <is>
          <t>Amount £</t>
        </is>
      </c>
    </row>
    <row r="31">
      <c r="B31" t="inlineStr">
        <is>
          <t>EE Pension</t>
        </is>
      </c>
      <c r="C31">
        <f>CALC_ENGINE!AB29</f>
        <v/>
      </c>
    </row>
    <row r="32">
      <c r="B32" t="inlineStr">
        <is>
          <t>ER Pension</t>
        </is>
      </c>
      <c r="C32">
        <f>CALC_ENGINE!AD29</f>
        <v/>
      </c>
    </row>
    <row r="33">
      <c r="B33" t="inlineStr">
        <is>
          <t>NI Shared to EEs</t>
        </is>
      </c>
      <c r="C33">
        <f>CALC_ENGINE!AG29</f>
        <v/>
      </c>
    </row>
    <row r="35">
      <c r="B35" t="inlineStr">
        <is>
          <t>Employee</t>
        </is>
      </c>
      <c r="C35" t="inlineStr">
        <is>
          <t>Take-Home Change £</t>
        </is>
      </c>
    </row>
    <row r="36">
      <c r="B36">
        <f>EMPLOYEE_IMPACT!B4</f>
        <v/>
      </c>
      <c r="C36" s="12">
        <f>EMPLOYEE_IMPACT!I4</f>
        <v/>
      </c>
    </row>
    <row r="37">
      <c r="B37">
        <f>EMPLOYEE_IMPACT!B5</f>
        <v/>
      </c>
      <c r="C37" s="12">
        <f>EMPLOYEE_IMPACT!I5</f>
        <v/>
      </c>
    </row>
    <row r="38">
      <c r="B38">
        <f>EMPLOYEE_IMPACT!B6</f>
        <v/>
      </c>
      <c r="C38" s="12">
        <f>EMPLOYEE_IMPACT!I6</f>
        <v/>
      </c>
    </row>
    <row r="39">
      <c r="B39">
        <f>EMPLOYEE_IMPACT!B7</f>
        <v/>
      </c>
      <c r="C39" s="12">
        <f>EMPLOYEE_IMPACT!I7</f>
        <v/>
      </c>
    </row>
    <row r="40">
      <c r="B40">
        <f>EMPLOYEE_IMPACT!B8</f>
        <v/>
      </c>
      <c r="C40" s="12">
        <f>EMPLOYEE_IMPACT!I8</f>
        <v/>
      </c>
    </row>
    <row r="41">
      <c r="B41">
        <f>EMPLOYEE_IMPACT!B9</f>
        <v/>
      </c>
      <c r="C41" s="12">
        <f>EMPLOYEE_IMPACT!I9</f>
        <v/>
      </c>
    </row>
    <row r="42">
      <c r="B42">
        <f>EMPLOYEE_IMPACT!B10</f>
        <v/>
      </c>
      <c r="C42" s="12">
        <f>EMPLOYEE_IMPACT!I10</f>
        <v/>
      </c>
    </row>
    <row r="43">
      <c r="B43">
        <f>EMPLOYEE_IMPACT!B11</f>
        <v/>
      </c>
      <c r="C43" s="12">
        <f>EMPLOYEE_IMPACT!I11</f>
        <v/>
      </c>
    </row>
    <row r="44">
      <c r="B44">
        <f>EMPLOYEE_IMPACT!B12</f>
        <v/>
      </c>
      <c r="C44" s="12">
        <f>EMPLOYEE_IMPACT!I12</f>
        <v/>
      </c>
    </row>
    <row r="45" ht="50" customHeight="1">
      <c r="B45" s="13" t="inlineStr">
        <is>
          <t>KEY INSIGHTS  |  Salary sacrifice reduces the employee's gross for PAYE and NI, creating tax efficiency for both parties.  The employer saves ER NI at 13.8% on all sacrificed amounts — this saving can be retained, shared or reinvested.  Higher-rate taxpayers see the greatest take-home improvement per £ sacrificed.  Ensure no employee's post-sacrifice salary falls below National Minimum Wage.  Verify Annual Allowance for high earners (see AUDIT_CHECKS tab).</t>
        </is>
      </c>
    </row>
    <row r="46">
      <c r="B46">
        <f>EMPLOYEE_IMPACT!B14</f>
        <v/>
      </c>
      <c r="C46" s="12">
        <f>EMPLOYEE_IMPACT!I14</f>
        <v/>
      </c>
    </row>
    <row r="47">
      <c r="B47">
        <f>EMPLOYEE_IMPACT!B15</f>
        <v/>
      </c>
      <c r="C47" s="12">
        <f>EMPLOYEE_IMPACT!I15</f>
        <v/>
      </c>
    </row>
    <row r="48">
      <c r="B48">
        <f>EMPLOYEE_IMPACT!B16</f>
        <v/>
      </c>
      <c r="C48" s="12">
        <f>EMPLOYEE_IMPACT!I16</f>
        <v/>
      </c>
    </row>
    <row r="49">
      <c r="B49">
        <f>EMPLOYEE_IMPACT!B17</f>
        <v/>
      </c>
      <c r="C49" s="12">
        <f>EMPLOYEE_IMPACT!I17</f>
        <v/>
      </c>
    </row>
    <row r="50">
      <c r="B50">
        <f>EMPLOYEE_IMPACT!B18</f>
        <v/>
      </c>
      <c r="C50" s="12">
        <f>EMPLOYEE_IMPACT!I18</f>
        <v/>
      </c>
    </row>
  </sheetData>
  <mergeCells count="41">
    <mergeCell ref="V12:W12"/>
    <mergeCell ref="F11:G11"/>
    <mergeCell ref="B7:C7"/>
    <mergeCell ref="J5:K5"/>
    <mergeCell ref="N7:O7"/>
    <mergeCell ref="F10:G10"/>
    <mergeCell ref="N11:O11"/>
    <mergeCell ref="R11:S11"/>
    <mergeCell ref="J10:K10"/>
    <mergeCell ref="V5:W5"/>
    <mergeCell ref="R10:S10"/>
    <mergeCell ref="F6:G6"/>
    <mergeCell ref="F7:G7"/>
    <mergeCell ref="B12:C12"/>
    <mergeCell ref="F12:G12"/>
    <mergeCell ref="R7:S7"/>
    <mergeCell ref="A1:Z1"/>
    <mergeCell ref="J6:K6"/>
    <mergeCell ref="B11:C11"/>
    <mergeCell ref="N12:O12"/>
    <mergeCell ref="V10:W10"/>
    <mergeCell ref="F5:G5"/>
    <mergeCell ref="R6:S6"/>
    <mergeCell ref="N5:O5"/>
    <mergeCell ref="B9:Y9"/>
    <mergeCell ref="R12:S12"/>
    <mergeCell ref="V6:W6"/>
    <mergeCell ref="J11:K11"/>
    <mergeCell ref="J7:K7"/>
    <mergeCell ref="B10:C10"/>
    <mergeCell ref="N10:O10"/>
    <mergeCell ref="V11:W11"/>
    <mergeCell ref="A2:Z2"/>
    <mergeCell ref="B45:Y45"/>
    <mergeCell ref="B6:C6"/>
    <mergeCell ref="B4:Y4"/>
    <mergeCell ref="V7:W7"/>
    <mergeCell ref="J12:K12"/>
    <mergeCell ref="B5:C5"/>
    <mergeCell ref="N6:O6"/>
    <mergeCell ref="R5:S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" customWidth="1" min="7" max="7"/>
  </cols>
  <sheetData>
    <row r="1" ht="40" customHeight="1">
      <c r="A1" s="14" t="inlineStr">
        <is>
          <t>UK PENSION SALARY SACRIFICE MODEL — ASSUMPTIONS &amp; INPUTS</t>
        </is>
      </c>
    </row>
    <row r="2" ht="18" customHeight="1">
      <c r="A2" s="15" t="inlineStr">
        <is>
          <t>All yellow cells are inputs. Blue cells are calculated. Do not edit grey/white formula cells.</t>
        </is>
      </c>
    </row>
    <row r="4" ht="22" customHeight="1">
      <c r="B4" s="16" t="inlineStr">
        <is>
          <t>A. TAX YEAR &amp; GENERAL SETTINGS</t>
        </is>
      </c>
      <c r="C4" s="17" t="n"/>
      <c r="D4" s="17" t="n"/>
      <c r="E4" s="18" t="n"/>
    </row>
    <row r="5" ht="18" customHeight="1">
      <c r="B5" s="19" t="inlineStr">
        <is>
          <t>Tax Year</t>
        </is>
      </c>
      <c r="C5" s="20" t="inlineStr">
        <is>
          <t>2024/25</t>
        </is>
      </c>
    </row>
    <row r="6" ht="18" customHeight="1">
      <c r="B6" s="19" t="inlineStr">
        <is>
          <t>Payroll Frequency</t>
        </is>
      </c>
      <c r="C6" s="20" t="inlineStr">
        <is>
          <t>Monthly</t>
        </is>
      </c>
    </row>
    <row r="7" ht="18" customHeight="1">
      <c r="B7" s="19" t="inlineStr">
        <is>
          <t>Number of Pay Periods p.a.</t>
        </is>
      </c>
      <c r="C7" s="21" t="n">
        <v>12</v>
      </c>
    </row>
    <row r="8" ht="18" customHeight="1">
      <c r="B8" s="19" t="inlineStr">
        <is>
          <t>Company Name</t>
        </is>
      </c>
      <c r="C8" s="20" t="inlineStr">
        <is>
          <t>Example Co Ltd</t>
        </is>
      </c>
    </row>
    <row r="9" ht="18" customHeight="1">
      <c r="B9" s="19" t="inlineStr">
        <is>
          <t>Model Version</t>
        </is>
      </c>
      <c r="C9" s="20" t="inlineStr">
        <is>
          <t>v1.0</t>
        </is>
      </c>
    </row>
    <row r="10" ht="18" customHeight="1">
      <c r="B10" s="19" t="inlineStr">
        <is>
          <t>Model Date</t>
        </is>
      </c>
      <c r="C10" s="20" t="inlineStr">
        <is>
          <t>09/05/2026</t>
        </is>
      </c>
    </row>
    <row r="12" ht="22" customHeight="1">
      <c r="B12" s="16" t="inlineStr">
        <is>
          <t>B. INCOME TAX BANDS (England, Wales &amp; NI)</t>
        </is>
      </c>
      <c r="C12" s="17" t="n"/>
      <c r="D12" s="17" t="n"/>
      <c r="E12" s="18" t="n"/>
    </row>
    <row r="13" ht="20" customHeight="1">
      <c r="B13" s="22" t="inlineStr">
        <is>
          <t>Band</t>
        </is>
      </c>
      <c r="C13" s="22" t="inlineStr">
        <is>
          <t>Lower Limit £</t>
        </is>
      </c>
      <c r="D13" s="22" t="inlineStr">
        <is>
          <t>Upper Limit £</t>
        </is>
      </c>
      <c r="E13" s="22" t="inlineStr">
        <is>
          <t>Rate %</t>
        </is>
      </c>
    </row>
    <row r="14" ht="18" customHeight="1">
      <c r="B14" s="20" t="inlineStr">
        <is>
          <t>Personal Allowance</t>
        </is>
      </c>
      <c r="C14" s="23" t="n">
        <v>0</v>
      </c>
      <c r="D14" s="20" t="n">
        <v>12570</v>
      </c>
      <c r="E14" s="24" t="n">
        <v>0</v>
      </c>
    </row>
    <row r="15" ht="18" customHeight="1">
      <c r="B15" s="20" t="inlineStr">
        <is>
          <t>Basic Rate</t>
        </is>
      </c>
      <c r="C15" s="23" t="n">
        <v>12570</v>
      </c>
      <c r="D15" s="20" t="n">
        <v>50270</v>
      </c>
      <c r="E15" s="24" t="n">
        <v>0.2</v>
      </c>
    </row>
    <row r="16" ht="18" customHeight="1">
      <c r="B16" s="20" t="inlineStr">
        <is>
          <t>Higher Rate</t>
        </is>
      </c>
      <c r="C16" s="23" t="n">
        <v>50270</v>
      </c>
      <c r="D16" s="20" t="n">
        <v>125140</v>
      </c>
      <c r="E16" s="24" t="n">
        <v>0.4</v>
      </c>
    </row>
    <row r="17" ht="18" customHeight="1">
      <c r="B17" s="20" t="inlineStr">
        <is>
          <t>Additional Rate</t>
        </is>
      </c>
      <c r="C17" s="23" t="n">
        <v>125140</v>
      </c>
      <c r="D17" s="20" t="inlineStr">
        <is>
          <t>Unlimited</t>
        </is>
      </c>
      <c r="E17" s="24" t="n">
        <v>0.45</v>
      </c>
    </row>
    <row r="18" ht="18" customHeight="1">
      <c r="B18" s="20" t="inlineStr">
        <is>
          <t>PA Taper (£2 per £1 over £100k)</t>
        </is>
      </c>
      <c r="C18" s="23" t="n">
        <v>100000</v>
      </c>
      <c r="D18" s="20" t="n">
        <v>125140</v>
      </c>
      <c r="E18" s="20" t="inlineStr">
        <is>
          <t>Tapered</t>
        </is>
      </c>
    </row>
    <row r="21" ht="22" customHeight="1">
      <c r="B21" s="16" t="inlineStr">
        <is>
          <t>C. EMPLOYEE NATIONAL INSURANCE</t>
        </is>
      </c>
      <c r="C21" s="17" t="n"/>
      <c r="D21" s="17" t="n"/>
      <c r="E21" s="18" t="n"/>
    </row>
    <row r="22">
      <c r="B22" s="22" t="inlineStr">
        <is>
          <t>Band</t>
        </is>
      </c>
      <c r="C22" s="22" t="inlineStr">
        <is>
          <t>Weekly Lower £</t>
        </is>
      </c>
      <c r="D22" s="22" t="inlineStr">
        <is>
          <t>Weekly Upper £</t>
        </is>
      </c>
      <c r="E22" s="22" t="inlineStr">
        <is>
          <t>Rate %</t>
        </is>
      </c>
    </row>
    <row r="23" ht="18" customHeight="1">
      <c r="B23" s="20" t="inlineStr">
        <is>
          <t>Below LEL</t>
        </is>
      </c>
      <c r="C23" s="25" t="n">
        <v>0</v>
      </c>
      <c r="D23" s="20" t="n">
        <v>123</v>
      </c>
      <c r="E23" s="24" t="n">
        <v>0</v>
      </c>
    </row>
    <row r="24" ht="18" customHeight="1">
      <c r="B24" s="20" t="inlineStr">
        <is>
          <t>LEL to PT</t>
        </is>
      </c>
      <c r="C24" s="25" t="n">
        <v>123</v>
      </c>
      <c r="D24" s="20" t="n">
        <v>242</v>
      </c>
      <c r="E24" s="24" t="n">
        <v>0</v>
      </c>
    </row>
    <row r="25" ht="18" customHeight="1">
      <c r="B25" s="20" t="inlineStr">
        <is>
          <t>PT to UEL</t>
        </is>
      </c>
      <c r="C25" s="25" t="n">
        <v>242</v>
      </c>
      <c r="D25" s="20" t="n">
        <v>967</v>
      </c>
      <c r="E25" s="24" t="n">
        <v>0.08</v>
      </c>
    </row>
    <row r="26" ht="18" customHeight="1">
      <c r="B26" s="20" t="inlineStr">
        <is>
          <t>Above UEL</t>
        </is>
      </c>
      <c r="C26" s="25" t="n">
        <v>967</v>
      </c>
      <c r="D26" s="20" t="inlineStr">
        <is>
          <t>No limit</t>
        </is>
      </c>
      <c r="E26" s="24" t="n">
        <v>0.02</v>
      </c>
    </row>
    <row r="29" ht="22" customHeight="1">
      <c r="B29" s="16" t="inlineStr">
        <is>
          <t>D. EMPLOYER NATIONAL INSURANCE</t>
        </is>
      </c>
      <c r="C29" s="17" t="n"/>
      <c r="D29" s="17" t="n"/>
      <c r="E29" s="18" t="n"/>
    </row>
    <row r="30">
      <c r="B30" s="22" t="inlineStr">
        <is>
          <t>Band</t>
        </is>
      </c>
      <c r="C30" s="22" t="inlineStr">
        <is>
          <t>Weekly Lower £</t>
        </is>
      </c>
      <c r="D30" s="22" t="inlineStr">
        <is>
          <t>Weekly Upper £</t>
        </is>
      </c>
      <c r="E30" s="22" t="inlineStr">
        <is>
          <t>Rate %</t>
        </is>
      </c>
    </row>
    <row r="31" ht="18" customHeight="1">
      <c r="B31" s="20" t="inlineStr">
        <is>
          <t>Below ST</t>
        </is>
      </c>
      <c r="C31" s="25" t="n">
        <v>0</v>
      </c>
      <c r="D31" s="20" t="n">
        <v>175</v>
      </c>
      <c r="E31" s="24" t="n">
        <v>0</v>
      </c>
    </row>
    <row r="32" ht="18" customHeight="1">
      <c r="B32" s="20" t="inlineStr">
        <is>
          <t>At or above ST</t>
        </is>
      </c>
      <c r="C32" s="25" t="n">
        <v>175</v>
      </c>
      <c r="D32" s="20" t="inlineStr">
        <is>
          <t>No limit</t>
        </is>
      </c>
      <c r="E32" s="24" t="n">
        <v>0.138</v>
      </c>
    </row>
    <row r="33" ht="18" customHeight="1">
      <c r="B33" s="19" t="inlineStr">
        <is>
          <t>Employment Allowance (£)</t>
        </is>
      </c>
      <c r="C33" s="23" t="n">
        <v>5000</v>
      </c>
    </row>
    <row r="34" ht="18" customHeight="1">
      <c r="B34" s="19" t="inlineStr">
        <is>
          <t>Employment Allowance Eligible?</t>
        </is>
      </c>
      <c r="C34" s="20" t="inlineStr">
        <is>
          <t>Yes</t>
        </is>
      </c>
    </row>
    <row r="37" ht="22" customHeight="1">
      <c r="B37" s="16" t="inlineStr">
        <is>
          <t>E. PENSION CONTRIBUTION BASIS</t>
        </is>
      </c>
      <c r="C37" s="17" t="n"/>
      <c r="D37" s="17" t="n"/>
      <c r="E37" s="18" t="n"/>
    </row>
    <row r="38" ht="18" customHeight="1">
      <c r="B38" s="19" t="inlineStr">
        <is>
          <t>Qualifying Earnings Lower Limit £ p.a.</t>
        </is>
      </c>
      <c r="C38" s="23" t="n">
        <v>6240</v>
      </c>
    </row>
    <row r="39" ht="18" customHeight="1">
      <c r="B39" s="19" t="inlineStr">
        <is>
          <t>Qualifying Earnings Upper Limit £ p.a.</t>
        </is>
      </c>
      <c r="C39" s="23" t="n">
        <v>50270</v>
      </c>
    </row>
    <row r="40" ht="18" customHeight="1">
      <c r="B40" s="19" t="inlineStr">
        <is>
          <t>Annual Allowance £</t>
        </is>
      </c>
      <c r="C40" s="23" t="n">
        <v>60000</v>
      </c>
    </row>
    <row r="41" ht="18" customHeight="1">
      <c r="B41" s="19" t="inlineStr">
        <is>
          <t>Money Purchase Annual Allowance £</t>
        </is>
      </c>
      <c r="C41" s="23" t="n">
        <v>10000</v>
      </c>
    </row>
    <row r="42" ht="18" customHeight="1">
      <c r="B42" s="19" t="inlineStr">
        <is>
          <t>Lifetime Allowance</t>
        </is>
      </c>
      <c r="C42" s="20" t="inlineStr">
        <is>
          <t>Abolished Apr 2024</t>
        </is>
      </c>
    </row>
    <row r="45" ht="22" customHeight="1">
      <c r="B45" s="16" t="inlineStr">
        <is>
          <t>F. DEFAULT CONTRIBUTION RATES</t>
        </is>
      </c>
      <c r="C45" s="17" t="n"/>
      <c r="D45" s="17" t="n"/>
      <c r="E45" s="18" t="n"/>
    </row>
    <row r="46" ht="18" customHeight="1">
      <c r="B46" s="19" t="inlineStr">
        <is>
          <t>Default Employee Contribution Rate</t>
        </is>
      </c>
      <c r="C46" s="24" t="n">
        <v>0.05</v>
      </c>
    </row>
    <row r="47" ht="18" customHeight="1">
      <c r="B47" s="19" t="inlineStr">
        <is>
          <t>Default Employer Contribution Rate</t>
        </is>
      </c>
      <c r="C47" s="24" t="n">
        <v>0.03</v>
      </c>
    </row>
    <row r="48" ht="18" customHeight="1">
      <c r="B48" s="19" t="inlineStr">
        <is>
          <t>Pension Calculation Basis</t>
        </is>
      </c>
      <c r="C48" s="20" t="inlineStr">
        <is>
          <t>Qualifying Earnings</t>
        </is>
      </c>
    </row>
    <row r="49" ht="18" customHeight="1">
      <c r="B49" s="26" t="inlineStr">
        <is>
          <t xml:space="preserve">  (Options: Qualifying Earnings / Full Salary / Full incl. Bonus)</t>
        </is>
      </c>
    </row>
    <row r="52" ht="22" customHeight="1">
      <c r="B52" s="16" t="inlineStr">
        <is>
          <t>G. EMPLOYER NI SAVING DISPOSITION</t>
        </is>
      </c>
      <c r="C52" s="17" t="n"/>
      <c r="D52" s="17" t="n"/>
      <c r="E52" s="18" t="n"/>
    </row>
    <row r="53" ht="18" customHeight="1">
      <c r="B53" s="19" t="inlineStr">
        <is>
          <t>Employer NI Saving Treatment</t>
        </is>
      </c>
      <c r="C53" s="20" t="inlineStr">
        <is>
          <t>Share with Employees</t>
        </is>
      </c>
    </row>
    <row r="54" ht="18" customHeight="1">
      <c r="B54" s="26" t="inlineStr">
        <is>
          <t xml:space="preserve">  (Options: Retain / Share / Reinvest in Pension)</t>
        </is>
      </c>
    </row>
    <row r="55" ht="18" customHeight="1">
      <c r="B55" s="19" t="inlineStr">
        <is>
          <t>% of Saving Shared/Reinvested</t>
        </is>
      </c>
      <c r="C55" s="24" t="n">
        <v>0.5</v>
      </c>
    </row>
    <row r="56" ht="18" customHeight="1">
      <c r="B56" s="19" t="inlineStr">
        <is>
          <t>Sharing Method</t>
        </is>
      </c>
      <c r="C56" s="20" t="inlineStr">
        <is>
          <t>Pro-rata to Salary</t>
        </is>
      </c>
    </row>
    <row r="57" ht="18" customHeight="1">
      <c r="B57" s="26" t="inlineStr">
        <is>
          <t xml:space="preserve">  (Options: Equal Split / Pro-rata to Salary / Pro-rata to Saving)</t>
        </is>
      </c>
    </row>
    <row r="60" ht="22" customHeight="1">
      <c r="B60" s="16" t="inlineStr">
        <is>
          <t>H. ACTIVE SCENARIO</t>
        </is>
      </c>
      <c r="C60" s="17" t="n"/>
      <c r="D60" s="17" t="n"/>
      <c r="E60" s="18" t="n"/>
    </row>
    <row r="61" ht="18" customHeight="1">
      <c r="B61" s="19" t="inlineStr">
        <is>
          <t>Active Scenario (1–4)</t>
        </is>
      </c>
      <c r="C61" s="21" t="n">
        <v>1</v>
      </c>
    </row>
    <row r="62" ht="18" customHeight="1">
      <c r="B62" s="19" t="inlineStr">
        <is>
          <t>Salary Sacrifice: On/Off</t>
        </is>
      </c>
      <c r="C62" s="20" t="inlineStr">
        <is>
          <t>On</t>
        </is>
      </c>
    </row>
    <row r="65" ht="40" customHeight="1">
      <c r="B65" s="27" t="inlineStr">
        <is>
          <t>KEY NAMED RANGES  |  TAX_PA=C15  TAX_BR_RATE=E15  TAX_HR_RATE=E16  TAX_AR_RATE=E17  NI_PT_WK=D24  NI_UEL_WK=D25  NI_EE_MAIN=E25  NI_EE_UP=E26  NI_ER_ST=D32  NI_ER_RATE=E32  QE_LO=C38  QE_HI=C39  DEF_EE=C46  DEF_ER=C47  PENSION_BASIS=C48  NI_TREATMENT=C53  NI_SHARE_PCT=C55</t>
        </is>
      </c>
    </row>
  </sheetData>
  <mergeCells count="11">
    <mergeCell ref="B65:F65"/>
    <mergeCell ref="B45:E45"/>
    <mergeCell ref="A1:G1"/>
    <mergeCell ref="B4:E4"/>
    <mergeCell ref="B12:E12"/>
    <mergeCell ref="B52:E52"/>
    <mergeCell ref="B21:E21"/>
    <mergeCell ref="B29:E29"/>
    <mergeCell ref="A2:G2"/>
    <mergeCell ref="B37:E37"/>
    <mergeCell ref="B60:E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6" customWidth="1" min="9" max="9"/>
    <col width="18" customWidth="1" min="10" max="10"/>
    <col width="15" customWidth="1" min="11" max="11"/>
    <col width="15" customWidth="1" min="12" max="12"/>
    <col width="16" customWidth="1" min="13" max="13"/>
    <col width="14" customWidth="1" min="14" max="14"/>
    <col width="20" customWidth="1" min="15" max="15"/>
    <col width="12" customWidth="1" min="16" max="16"/>
    <col width="18" customWidth="1" min="17" max="17"/>
    <col width="24" customWidth="1" min="18" max="18"/>
  </cols>
  <sheetData>
    <row r="1" ht="36" customHeight="1">
      <c r="A1" s="28" t="inlineStr">
        <is>
          <t>EMPLOYEE DATA — Input Sheet  |  Yellow = editable inputs  |  Blue = auto-calculated</t>
        </is>
      </c>
    </row>
    <row r="2" ht="36" customHeight="1">
      <c r="A2" s="22" t="inlineStr">
        <is>
          <t>Emp ID</t>
        </is>
      </c>
      <c r="B2" s="22" t="inlineStr">
        <is>
          <t>First Name</t>
        </is>
      </c>
      <c r="C2" s="22" t="inlineStr">
        <is>
          <t>Last Name</t>
        </is>
      </c>
      <c r="D2" s="22" t="inlineStr">
        <is>
          <t>Department</t>
        </is>
      </c>
      <c r="E2" s="22" t="inlineStr">
        <is>
          <t>Job Title</t>
        </is>
      </c>
      <c r="F2" s="22" t="inlineStr">
        <is>
          <t>Employment Type</t>
        </is>
      </c>
      <c r="G2" s="22" t="inlineStr">
        <is>
          <t>Start Date</t>
        </is>
      </c>
      <c r="H2" s="22" t="inlineStr">
        <is>
          <t>Annual Basic Salary £</t>
        </is>
      </c>
      <c r="I2" s="22" t="inlineStr">
        <is>
          <t>Annual Bonus £</t>
        </is>
      </c>
      <c r="J2" s="22" t="inlineStr">
        <is>
          <t>Total Annual Earnings £</t>
        </is>
      </c>
      <c r="K2" s="22" t="inlineStr">
        <is>
          <t>EE Contrib Rate %</t>
        </is>
      </c>
      <c r="L2" s="22" t="inlineStr">
        <is>
          <t>ER Contrib Rate %</t>
        </is>
      </c>
      <c r="M2" s="22" t="inlineStr">
        <is>
          <t>Override Rates? Y/N</t>
        </is>
      </c>
      <c r="N2" s="22" t="inlineStr">
        <is>
          <t>Sacrifice On? Y/N</t>
        </is>
      </c>
      <c r="O2" s="22" t="inlineStr">
        <is>
          <t>Pension Basis Override</t>
        </is>
      </c>
      <c r="P2" s="22" t="inlineStr">
        <is>
          <t>NI Category</t>
        </is>
      </c>
      <c r="Q2" s="22" t="inlineStr">
        <is>
          <t>Scottish Taxpayer? Y/N</t>
        </is>
      </c>
      <c r="R2" s="22" t="inlineStr">
        <is>
          <t>Notes</t>
        </is>
      </c>
    </row>
    <row r="3" ht="18" customHeight="1">
      <c r="A3" s="29" t="inlineStr">
        <is>
          <t>E001</t>
        </is>
      </c>
      <c r="B3" s="29" t="inlineStr">
        <is>
          <t>Alice</t>
        </is>
      </c>
      <c r="C3" s="29" t="inlineStr">
        <is>
          <t>Hartley</t>
        </is>
      </c>
      <c r="D3" s="29" t="inlineStr">
        <is>
          <t>Finance</t>
        </is>
      </c>
      <c r="E3" s="29" t="inlineStr">
        <is>
          <t>CFO</t>
        </is>
      </c>
      <c r="F3" s="29" t="inlineStr">
        <is>
          <t>Full-time</t>
        </is>
      </c>
      <c r="G3" s="30" t="inlineStr">
        <is>
          <t>01/04/2020</t>
        </is>
      </c>
      <c r="H3" s="31" t="n">
        <v>180000</v>
      </c>
      <c r="I3" s="31" t="n">
        <v>20000</v>
      </c>
      <c r="J3" s="32">
        <f>H3+I3</f>
        <v/>
      </c>
      <c r="K3" s="33" t="n">
        <v>0.05</v>
      </c>
      <c r="L3" s="33" t="n">
        <v>0.03</v>
      </c>
      <c r="M3" s="34" t="inlineStr">
        <is>
          <t>N</t>
        </is>
      </c>
      <c r="N3" s="34" t="inlineStr">
        <is>
          <t>Y</t>
        </is>
      </c>
      <c r="O3" s="34" t="inlineStr"/>
      <c r="P3" s="34" t="inlineStr">
        <is>
          <t>A</t>
        </is>
      </c>
      <c r="Q3" s="34" t="inlineStr">
        <is>
          <t>N</t>
        </is>
      </c>
      <c r="R3" s="35" t="inlineStr"/>
    </row>
    <row r="4" ht="18" customHeight="1">
      <c r="A4" s="29" t="inlineStr">
        <is>
          <t>E002</t>
        </is>
      </c>
      <c r="B4" s="29" t="inlineStr">
        <is>
          <t>James</t>
        </is>
      </c>
      <c r="C4" s="29" t="inlineStr">
        <is>
          <t>Patel</t>
        </is>
      </c>
      <c r="D4" s="29" t="inlineStr">
        <is>
          <t>Finance</t>
        </is>
      </c>
      <c r="E4" s="29" t="inlineStr">
        <is>
          <t>Finance Director</t>
        </is>
      </c>
      <c r="F4" s="29" t="inlineStr">
        <is>
          <t>Full-time</t>
        </is>
      </c>
      <c r="G4" s="30" t="inlineStr">
        <is>
          <t>15/06/2018</t>
        </is>
      </c>
      <c r="H4" s="31" t="n">
        <v>120000</v>
      </c>
      <c r="I4" s="31" t="n">
        <v>15000</v>
      </c>
      <c r="J4" s="32">
        <f>H4+I4</f>
        <v/>
      </c>
      <c r="K4" s="33" t="n">
        <v>0.05</v>
      </c>
      <c r="L4" s="33" t="n">
        <v>0.03</v>
      </c>
      <c r="M4" s="34" t="inlineStr">
        <is>
          <t>N</t>
        </is>
      </c>
      <c r="N4" s="34" t="inlineStr">
        <is>
          <t>Y</t>
        </is>
      </c>
      <c r="O4" s="34" t="inlineStr"/>
      <c r="P4" s="34" t="inlineStr">
        <is>
          <t>A</t>
        </is>
      </c>
      <c r="Q4" s="34" t="inlineStr">
        <is>
          <t>N</t>
        </is>
      </c>
      <c r="R4" s="35" t="inlineStr"/>
    </row>
    <row r="5" ht="18" customHeight="1">
      <c r="A5" s="29" t="inlineStr">
        <is>
          <t>E003</t>
        </is>
      </c>
      <c r="B5" s="29" t="inlineStr">
        <is>
          <t>Priya</t>
        </is>
      </c>
      <c r="C5" s="29" t="inlineStr">
        <is>
          <t>Sharma</t>
        </is>
      </c>
      <c r="D5" s="29" t="inlineStr">
        <is>
          <t>Finance</t>
        </is>
      </c>
      <c r="E5" s="29" t="inlineStr">
        <is>
          <t>Senior Accountant</t>
        </is>
      </c>
      <c r="F5" s="29" t="inlineStr">
        <is>
          <t>Full-time</t>
        </is>
      </c>
      <c r="G5" s="30" t="inlineStr">
        <is>
          <t>01/09/2021</t>
        </is>
      </c>
      <c r="H5" s="31" t="n">
        <v>62000</v>
      </c>
      <c r="I5" s="31" t="n">
        <v>5000</v>
      </c>
      <c r="J5" s="32">
        <f>H5+I5</f>
        <v/>
      </c>
      <c r="K5" s="33" t="n">
        <v>0.05</v>
      </c>
      <c r="L5" s="33" t="n">
        <v>0.03</v>
      </c>
      <c r="M5" s="34" t="inlineStr">
        <is>
          <t>N</t>
        </is>
      </c>
      <c r="N5" s="34" t="inlineStr">
        <is>
          <t>Y</t>
        </is>
      </c>
      <c r="O5" s="34" t="inlineStr"/>
      <c r="P5" s="34" t="inlineStr">
        <is>
          <t>A</t>
        </is>
      </c>
      <c r="Q5" s="34" t="inlineStr">
        <is>
          <t>N</t>
        </is>
      </c>
      <c r="R5" s="35" t="inlineStr"/>
    </row>
    <row r="6" ht="18" customHeight="1">
      <c r="A6" s="29" t="inlineStr">
        <is>
          <t>E004</t>
        </is>
      </c>
      <c r="B6" s="29" t="inlineStr">
        <is>
          <t>Tom</t>
        </is>
      </c>
      <c r="C6" s="29" t="inlineStr">
        <is>
          <t>Williams</t>
        </is>
      </c>
      <c r="D6" s="29" t="inlineStr">
        <is>
          <t>Finance</t>
        </is>
      </c>
      <c r="E6" s="29" t="inlineStr">
        <is>
          <t>Accountant</t>
        </is>
      </c>
      <c r="F6" s="29" t="inlineStr">
        <is>
          <t>Full-time</t>
        </is>
      </c>
      <c r="G6" s="30" t="inlineStr">
        <is>
          <t>01/03/2023</t>
        </is>
      </c>
      <c r="H6" s="31" t="n">
        <v>42000</v>
      </c>
      <c r="I6" s="31" t="n">
        <v>2000</v>
      </c>
      <c r="J6" s="32">
        <f>H6+I6</f>
        <v/>
      </c>
      <c r="K6" s="33" t="n">
        <v>0.05</v>
      </c>
      <c r="L6" s="33" t="n">
        <v>0.03</v>
      </c>
      <c r="M6" s="34" t="inlineStr">
        <is>
          <t>N</t>
        </is>
      </c>
      <c r="N6" s="34" t="inlineStr">
        <is>
          <t>Y</t>
        </is>
      </c>
      <c r="O6" s="34" t="inlineStr"/>
      <c r="P6" s="34" t="inlineStr">
        <is>
          <t>A</t>
        </is>
      </c>
      <c r="Q6" s="34" t="inlineStr">
        <is>
          <t>N</t>
        </is>
      </c>
      <c r="R6" s="35" t="inlineStr"/>
    </row>
    <row r="7" ht="18" customHeight="1">
      <c r="A7" s="29" t="inlineStr">
        <is>
          <t>E005</t>
        </is>
      </c>
      <c r="B7" s="29" t="inlineStr">
        <is>
          <t>Emma</t>
        </is>
      </c>
      <c r="C7" s="29" t="inlineStr">
        <is>
          <t>Clarke</t>
        </is>
      </c>
      <c r="D7" s="29" t="inlineStr">
        <is>
          <t>Finance</t>
        </is>
      </c>
      <c r="E7" s="29" t="inlineStr">
        <is>
          <t>Finance Assistant</t>
        </is>
      </c>
      <c r="F7" s="29" t="inlineStr">
        <is>
          <t>Full-time</t>
        </is>
      </c>
      <c r="G7" s="30" t="inlineStr">
        <is>
          <t>01/07/2024</t>
        </is>
      </c>
      <c r="H7" s="31" t="n">
        <v>28000</v>
      </c>
      <c r="I7" s="31" t="n">
        <v>0</v>
      </c>
      <c r="J7" s="32">
        <f>H7+I7</f>
        <v/>
      </c>
      <c r="K7" s="33" t="n">
        <v>0.05</v>
      </c>
      <c r="L7" s="33" t="n">
        <v>0.03</v>
      </c>
      <c r="M7" s="34" t="inlineStr">
        <is>
          <t>N</t>
        </is>
      </c>
      <c r="N7" s="34" t="inlineStr">
        <is>
          <t>Y</t>
        </is>
      </c>
      <c r="O7" s="34" t="inlineStr"/>
      <c r="P7" s="34" t="inlineStr">
        <is>
          <t>A</t>
        </is>
      </c>
      <c r="Q7" s="34" t="inlineStr">
        <is>
          <t>N</t>
        </is>
      </c>
      <c r="R7" s="35" t="inlineStr"/>
    </row>
    <row r="8" ht="18" customHeight="1">
      <c r="A8" s="29" t="inlineStr">
        <is>
          <t>E006</t>
        </is>
      </c>
      <c r="B8" s="29" t="inlineStr">
        <is>
          <t>David</t>
        </is>
      </c>
      <c r="C8" s="29" t="inlineStr">
        <is>
          <t>Johnson</t>
        </is>
      </c>
      <c r="D8" s="29" t="inlineStr">
        <is>
          <t>HR</t>
        </is>
      </c>
      <c r="E8" s="29" t="inlineStr">
        <is>
          <t>HR Director</t>
        </is>
      </c>
      <c r="F8" s="29" t="inlineStr">
        <is>
          <t>Full-time</t>
        </is>
      </c>
      <c r="G8" s="30" t="inlineStr">
        <is>
          <t>01/01/2019</t>
        </is>
      </c>
      <c r="H8" s="31" t="n">
        <v>95000</v>
      </c>
      <c r="I8" s="31" t="n">
        <v>10000</v>
      </c>
      <c r="J8" s="32">
        <f>H8+I8</f>
        <v/>
      </c>
      <c r="K8" s="33" t="n">
        <v>0.05</v>
      </c>
      <c r="L8" s="33" t="n">
        <v>0.03</v>
      </c>
      <c r="M8" s="34" t="inlineStr">
        <is>
          <t>N</t>
        </is>
      </c>
      <c r="N8" s="34" t="inlineStr">
        <is>
          <t>Y</t>
        </is>
      </c>
      <c r="O8" s="34" t="inlineStr"/>
      <c r="P8" s="34" t="inlineStr">
        <is>
          <t>A</t>
        </is>
      </c>
      <c r="Q8" s="34" t="inlineStr">
        <is>
          <t>N</t>
        </is>
      </c>
      <c r="R8" s="35" t="inlineStr"/>
    </row>
    <row r="9" ht="18" customHeight="1">
      <c r="A9" s="29" t="inlineStr">
        <is>
          <t>E007</t>
        </is>
      </c>
      <c r="B9" s="29" t="inlineStr">
        <is>
          <t>Sarah</t>
        </is>
      </c>
      <c r="C9" s="29" t="inlineStr">
        <is>
          <t>Thompson</t>
        </is>
      </c>
      <c r="D9" s="29" t="inlineStr">
        <is>
          <t>HR</t>
        </is>
      </c>
      <c r="E9" s="29" t="inlineStr">
        <is>
          <t>HR Manager</t>
        </is>
      </c>
      <c r="F9" s="29" t="inlineStr">
        <is>
          <t>Full-time</t>
        </is>
      </c>
      <c r="G9" s="30" t="inlineStr">
        <is>
          <t>01/04/2020</t>
        </is>
      </c>
      <c r="H9" s="31" t="n">
        <v>58000</v>
      </c>
      <c r="I9" s="31" t="n">
        <v>4000</v>
      </c>
      <c r="J9" s="32">
        <f>H9+I9</f>
        <v/>
      </c>
      <c r="K9" s="33" t="n">
        <v>0.05</v>
      </c>
      <c r="L9" s="33" t="n">
        <v>0.03</v>
      </c>
      <c r="M9" s="34" t="inlineStr">
        <is>
          <t>N</t>
        </is>
      </c>
      <c r="N9" s="34" t="inlineStr">
        <is>
          <t>Y</t>
        </is>
      </c>
      <c r="O9" s="34" t="inlineStr"/>
      <c r="P9" s="34" t="inlineStr">
        <is>
          <t>A</t>
        </is>
      </c>
      <c r="Q9" s="34" t="inlineStr">
        <is>
          <t>N</t>
        </is>
      </c>
      <c r="R9" s="35" t="inlineStr"/>
    </row>
    <row r="10" ht="18" customHeight="1">
      <c r="A10" s="29" t="inlineStr">
        <is>
          <t>E008</t>
        </is>
      </c>
      <c r="B10" s="29" t="inlineStr">
        <is>
          <t>Luke</t>
        </is>
      </c>
      <c r="C10" s="29" t="inlineStr">
        <is>
          <t>Evans</t>
        </is>
      </c>
      <c r="D10" s="29" t="inlineStr">
        <is>
          <t>HR</t>
        </is>
      </c>
      <c r="E10" s="29" t="inlineStr">
        <is>
          <t>HR Advisor</t>
        </is>
      </c>
      <c r="F10" s="29" t="inlineStr">
        <is>
          <t>Full-time</t>
        </is>
      </c>
      <c r="G10" s="30" t="inlineStr">
        <is>
          <t>01/08/2022</t>
        </is>
      </c>
      <c r="H10" s="31" t="n">
        <v>38000</v>
      </c>
      <c r="I10" s="31" t="n">
        <v>1500</v>
      </c>
      <c r="J10" s="32">
        <f>H10+I10</f>
        <v/>
      </c>
      <c r="K10" s="33" t="n">
        <v>0.05</v>
      </c>
      <c r="L10" s="33" t="n">
        <v>0.03</v>
      </c>
      <c r="M10" s="34" t="inlineStr">
        <is>
          <t>N</t>
        </is>
      </c>
      <c r="N10" s="34" t="inlineStr">
        <is>
          <t>Y</t>
        </is>
      </c>
      <c r="O10" s="34" t="inlineStr"/>
      <c r="P10" s="34" t="inlineStr">
        <is>
          <t>A</t>
        </is>
      </c>
      <c r="Q10" s="34" t="inlineStr">
        <is>
          <t>N</t>
        </is>
      </c>
      <c r="R10" s="35" t="inlineStr"/>
    </row>
    <row r="11" ht="18" customHeight="1">
      <c r="A11" s="29" t="inlineStr">
        <is>
          <t>E009</t>
        </is>
      </c>
      <c r="B11" s="29" t="inlineStr">
        <is>
          <t>Nina</t>
        </is>
      </c>
      <c r="C11" s="29" t="inlineStr">
        <is>
          <t>Roberts</t>
        </is>
      </c>
      <c r="D11" s="29" t="inlineStr">
        <is>
          <t>HR</t>
        </is>
      </c>
      <c r="E11" s="29" t="inlineStr">
        <is>
          <t>HR Administrator</t>
        </is>
      </c>
      <c r="F11" s="29" t="inlineStr">
        <is>
          <t>Part-time</t>
        </is>
      </c>
      <c r="G11" s="30" t="inlineStr">
        <is>
          <t>01/11/2023</t>
        </is>
      </c>
      <c r="H11" s="31" t="n">
        <v>22000</v>
      </c>
      <c r="I11" s="31" t="n">
        <v>0</v>
      </c>
      <c r="J11" s="32">
        <f>H11+I11</f>
        <v/>
      </c>
      <c r="K11" s="33" t="n">
        <v>0.05</v>
      </c>
      <c r="L11" s="33" t="n">
        <v>0.03</v>
      </c>
      <c r="M11" s="34" t="inlineStr">
        <is>
          <t>N</t>
        </is>
      </c>
      <c r="N11" s="34" t="inlineStr">
        <is>
          <t>Y</t>
        </is>
      </c>
      <c r="O11" s="34" t="inlineStr"/>
      <c r="P11" s="34" t="inlineStr">
        <is>
          <t>A</t>
        </is>
      </c>
      <c r="Q11" s="34" t="inlineStr">
        <is>
          <t>N</t>
        </is>
      </c>
      <c r="R11" s="35" t="inlineStr"/>
    </row>
    <row r="12" ht="18" customHeight="1">
      <c r="A12" s="29" t="inlineStr">
        <is>
          <t>E010</t>
        </is>
      </c>
      <c r="B12" s="29" t="inlineStr">
        <is>
          <t>Ben</t>
        </is>
      </c>
      <c r="C12" s="29" t="inlineStr">
        <is>
          <t>Morris</t>
        </is>
      </c>
      <c r="D12" s="29" t="inlineStr">
        <is>
          <t>Operations</t>
        </is>
      </c>
      <c r="E12" s="29" t="inlineStr">
        <is>
          <t>Operations Director</t>
        </is>
      </c>
      <c r="F12" s="29" t="inlineStr">
        <is>
          <t>Full-time</t>
        </is>
      </c>
      <c r="G12" s="30" t="inlineStr">
        <is>
          <t>01/06/2017</t>
        </is>
      </c>
      <c r="H12" s="31" t="n">
        <v>110000</v>
      </c>
      <c r="I12" s="31" t="n">
        <v>12000</v>
      </c>
      <c r="J12" s="32">
        <f>H12+I12</f>
        <v/>
      </c>
      <c r="K12" s="33" t="n">
        <v>0.05</v>
      </c>
      <c r="L12" s="33" t="n">
        <v>0.03</v>
      </c>
      <c r="M12" s="34" t="inlineStr">
        <is>
          <t>N</t>
        </is>
      </c>
      <c r="N12" s="34" t="inlineStr">
        <is>
          <t>Y</t>
        </is>
      </c>
      <c r="O12" s="34" t="inlineStr"/>
      <c r="P12" s="34" t="inlineStr">
        <is>
          <t>A</t>
        </is>
      </c>
      <c r="Q12" s="34" t="inlineStr">
        <is>
          <t>N</t>
        </is>
      </c>
      <c r="R12" s="35" t="inlineStr"/>
    </row>
    <row r="13" ht="18" customHeight="1">
      <c r="A13" s="29" t="inlineStr">
        <is>
          <t>E011</t>
        </is>
      </c>
      <c r="B13" s="29" t="inlineStr">
        <is>
          <t>Kate</t>
        </is>
      </c>
      <c r="C13" s="29" t="inlineStr">
        <is>
          <t>Wilson</t>
        </is>
      </c>
      <c r="D13" s="29" t="inlineStr">
        <is>
          <t>Operations</t>
        </is>
      </c>
      <c r="E13" s="29" t="inlineStr">
        <is>
          <t>Operations Manager</t>
        </is>
      </c>
      <c r="F13" s="29" t="inlineStr">
        <is>
          <t>Full-time</t>
        </is>
      </c>
      <c r="G13" s="30" t="inlineStr">
        <is>
          <t>01/02/2019</t>
        </is>
      </c>
      <c r="H13" s="31" t="n">
        <v>72000</v>
      </c>
      <c r="I13" s="31" t="n">
        <v>6000</v>
      </c>
      <c r="J13" s="32">
        <f>H13+I13</f>
        <v/>
      </c>
      <c r="K13" s="33" t="n">
        <v>0.05</v>
      </c>
      <c r="L13" s="33" t="n">
        <v>0.03</v>
      </c>
      <c r="M13" s="34" t="inlineStr">
        <is>
          <t>N</t>
        </is>
      </c>
      <c r="N13" s="34" t="inlineStr">
        <is>
          <t>Y</t>
        </is>
      </c>
      <c r="O13" s="34" t="inlineStr"/>
      <c r="P13" s="34" t="inlineStr">
        <is>
          <t>A</t>
        </is>
      </c>
      <c r="Q13" s="34" t="inlineStr">
        <is>
          <t>N</t>
        </is>
      </c>
      <c r="R13" s="35" t="inlineStr"/>
    </row>
    <row r="14" ht="18" customHeight="1">
      <c r="A14" s="29" t="inlineStr">
        <is>
          <t>E012</t>
        </is>
      </c>
      <c r="B14" s="29" t="inlineStr">
        <is>
          <t>Sam</t>
        </is>
      </c>
      <c r="C14" s="29" t="inlineStr">
        <is>
          <t>Brown</t>
        </is>
      </c>
      <c r="D14" s="29" t="inlineStr">
        <is>
          <t>Operations</t>
        </is>
      </c>
      <c r="E14" s="29" t="inlineStr">
        <is>
          <t>Senior Analyst</t>
        </is>
      </c>
      <c r="F14" s="29" t="inlineStr">
        <is>
          <t>Full-time</t>
        </is>
      </c>
      <c r="G14" s="30" t="inlineStr">
        <is>
          <t>01/05/2021</t>
        </is>
      </c>
      <c r="H14" s="31" t="n">
        <v>54000</v>
      </c>
      <c r="I14" s="31" t="n">
        <v>3500</v>
      </c>
      <c r="J14" s="32">
        <f>H14+I14</f>
        <v/>
      </c>
      <c r="K14" s="33" t="n">
        <v>0.05</v>
      </c>
      <c r="L14" s="33" t="n">
        <v>0.03</v>
      </c>
      <c r="M14" s="34" t="inlineStr">
        <is>
          <t>N</t>
        </is>
      </c>
      <c r="N14" s="34" t="inlineStr">
        <is>
          <t>Y</t>
        </is>
      </c>
      <c r="O14" s="34" t="inlineStr"/>
      <c r="P14" s="34" t="inlineStr">
        <is>
          <t>A</t>
        </is>
      </c>
      <c r="Q14" s="34" t="inlineStr">
        <is>
          <t>N</t>
        </is>
      </c>
      <c r="R14" s="35" t="inlineStr"/>
    </row>
    <row r="15" ht="18" customHeight="1">
      <c r="A15" s="29" t="inlineStr">
        <is>
          <t>E013</t>
        </is>
      </c>
      <c r="B15" s="29" t="inlineStr">
        <is>
          <t>Jess</t>
        </is>
      </c>
      <c r="C15" s="29" t="inlineStr">
        <is>
          <t>Taylor</t>
        </is>
      </c>
      <c r="D15" s="29" t="inlineStr">
        <is>
          <t>Operations</t>
        </is>
      </c>
      <c r="E15" s="29" t="inlineStr">
        <is>
          <t>Analyst</t>
        </is>
      </c>
      <c r="F15" s="29" t="inlineStr">
        <is>
          <t>Full-time</t>
        </is>
      </c>
      <c r="G15" s="30" t="inlineStr">
        <is>
          <t>01/09/2022</t>
        </is>
      </c>
      <c r="H15" s="31" t="n">
        <v>40000</v>
      </c>
      <c r="I15" s="31" t="n">
        <v>2000</v>
      </c>
      <c r="J15" s="32">
        <f>H15+I15</f>
        <v/>
      </c>
      <c r="K15" s="33" t="n">
        <v>0.05</v>
      </c>
      <c r="L15" s="33" t="n">
        <v>0.03</v>
      </c>
      <c r="M15" s="34" t="inlineStr">
        <is>
          <t>N</t>
        </is>
      </c>
      <c r="N15" s="34" t="inlineStr">
        <is>
          <t>Y</t>
        </is>
      </c>
      <c r="O15" s="34" t="inlineStr"/>
      <c r="P15" s="34" t="inlineStr">
        <is>
          <t>A</t>
        </is>
      </c>
      <c r="Q15" s="34" t="inlineStr">
        <is>
          <t>N</t>
        </is>
      </c>
      <c r="R15" s="35" t="inlineStr"/>
    </row>
    <row r="16" ht="18" customHeight="1">
      <c r="A16" s="29" t="inlineStr">
        <is>
          <t>E014</t>
        </is>
      </c>
      <c r="B16" s="29" t="inlineStr">
        <is>
          <t>Chris</t>
        </is>
      </c>
      <c r="C16" s="29" t="inlineStr">
        <is>
          <t>Anderson</t>
        </is>
      </c>
      <c r="D16" s="29" t="inlineStr">
        <is>
          <t>Operations</t>
        </is>
      </c>
      <c r="E16" s="29" t="inlineStr">
        <is>
          <t>Analyst</t>
        </is>
      </c>
      <c r="F16" s="29" t="inlineStr">
        <is>
          <t>Full-time</t>
        </is>
      </c>
      <c r="G16" s="30" t="inlineStr">
        <is>
          <t>01/01/2024</t>
        </is>
      </c>
      <c r="H16" s="31" t="n">
        <v>36000</v>
      </c>
      <c r="I16" s="31" t="n">
        <v>1000</v>
      </c>
      <c r="J16" s="32">
        <f>H16+I16</f>
        <v/>
      </c>
      <c r="K16" s="33" t="n">
        <v>0.05</v>
      </c>
      <c r="L16" s="33" t="n">
        <v>0.03</v>
      </c>
      <c r="M16" s="34" t="inlineStr">
        <is>
          <t>N</t>
        </is>
      </c>
      <c r="N16" s="34" t="inlineStr">
        <is>
          <t>Y</t>
        </is>
      </c>
      <c r="O16" s="34" t="inlineStr"/>
      <c r="P16" s="34" t="inlineStr">
        <is>
          <t>A</t>
        </is>
      </c>
      <c r="Q16" s="34" t="inlineStr">
        <is>
          <t>N</t>
        </is>
      </c>
      <c r="R16" s="35" t="inlineStr"/>
    </row>
    <row r="17" ht="18" customHeight="1">
      <c r="A17" s="29" t="inlineStr">
        <is>
          <t>E015</t>
        </is>
      </c>
      <c r="B17" s="29" t="inlineStr">
        <is>
          <t>Fiona</t>
        </is>
      </c>
      <c r="C17" s="29" t="inlineStr">
        <is>
          <t>Jackson</t>
        </is>
      </c>
      <c r="D17" s="29" t="inlineStr">
        <is>
          <t>Operations</t>
        </is>
      </c>
      <c r="E17" s="29" t="inlineStr">
        <is>
          <t>Administrator</t>
        </is>
      </c>
      <c r="F17" s="29" t="inlineStr">
        <is>
          <t>Full-time</t>
        </is>
      </c>
      <c r="G17" s="30" t="inlineStr">
        <is>
          <t>01/03/2023</t>
        </is>
      </c>
      <c r="H17" s="31" t="n">
        <v>30000</v>
      </c>
      <c r="I17" s="31" t="n">
        <v>0</v>
      </c>
      <c r="J17" s="32">
        <f>H17+I17</f>
        <v/>
      </c>
      <c r="K17" s="33" t="n">
        <v>0.05</v>
      </c>
      <c r="L17" s="33" t="n">
        <v>0.03</v>
      </c>
      <c r="M17" s="34" t="inlineStr">
        <is>
          <t>N</t>
        </is>
      </c>
      <c r="N17" s="34" t="inlineStr">
        <is>
          <t>Y</t>
        </is>
      </c>
      <c r="O17" s="34" t="inlineStr"/>
      <c r="P17" s="34" t="inlineStr">
        <is>
          <t>A</t>
        </is>
      </c>
      <c r="Q17" s="34" t="inlineStr">
        <is>
          <t>N</t>
        </is>
      </c>
      <c r="R17" s="35" t="inlineStr"/>
    </row>
    <row r="18" ht="18" customHeight="1">
      <c r="A18" s="29" t="inlineStr">
        <is>
          <t>E016</t>
        </is>
      </c>
      <c r="B18" s="29" t="inlineStr">
        <is>
          <t>Mark</t>
        </is>
      </c>
      <c r="C18" s="29" t="inlineStr">
        <is>
          <t>White</t>
        </is>
      </c>
      <c r="D18" s="29" t="inlineStr">
        <is>
          <t>Sales</t>
        </is>
      </c>
      <c r="E18" s="29" t="inlineStr">
        <is>
          <t>Sales Director</t>
        </is>
      </c>
      <c r="F18" s="29" t="inlineStr">
        <is>
          <t>Full-time</t>
        </is>
      </c>
      <c r="G18" s="30" t="inlineStr">
        <is>
          <t>01/07/2016</t>
        </is>
      </c>
      <c r="H18" s="31" t="n">
        <v>130000</v>
      </c>
      <c r="I18" s="31" t="n">
        <v>25000</v>
      </c>
      <c r="J18" s="32">
        <f>H18+I18</f>
        <v/>
      </c>
      <c r="K18" s="33" t="n">
        <v>0.05</v>
      </c>
      <c r="L18" s="33" t="n">
        <v>0.03</v>
      </c>
      <c r="M18" s="34" t="inlineStr">
        <is>
          <t>N</t>
        </is>
      </c>
      <c r="N18" s="34" t="inlineStr">
        <is>
          <t>Y</t>
        </is>
      </c>
      <c r="O18" s="34" t="inlineStr"/>
      <c r="P18" s="34" t="inlineStr">
        <is>
          <t>A</t>
        </is>
      </c>
      <c r="Q18" s="34" t="inlineStr">
        <is>
          <t>N</t>
        </is>
      </c>
      <c r="R18" s="35" t="inlineStr"/>
    </row>
    <row r="19" ht="18" customHeight="1">
      <c r="A19" s="29" t="inlineStr">
        <is>
          <t>E017</t>
        </is>
      </c>
      <c r="B19" s="29" t="inlineStr">
        <is>
          <t>Amy</t>
        </is>
      </c>
      <c r="C19" s="29" t="inlineStr">
        <is>
          <t>Harris</t>
        </is>
      </c>
      <c r="D19" s="29" t="inlineStr">
        <is>
          <t>Sales</t>
        </is>
      </c>
      <c r="E19" s="29" t="inlineStr">
        <is>
          <t>Senior Account Mgr</t>
        </is>
      </c>
      <c r="F19" s="29" t="inlineStr">
        <is>
          <t>Full-time</t>
        </is>
      </c>
      <c r="G19" s="30" t="inlineStr">
        <is>
          <t>01/09/2019</t>
        </is>
      </c>
      <c r="H19" s="31" t="n">
        <v>70000</v>
      </c>
      <c r="I19" s="31" t="n">
        <v>15000</v>
      </c>
      <c r="J19" s="32">
        <f>H19+I19</f>
        <v/>
      </c>
      <c r="K19" s="33" t="n">
        <v>0.05</v>
      </c>
      <c r="L19" s="33" t="n">
        <v>0.03</v>
      </c>
      <c r="M19" s="34" t="inlineStr">
        <is>
          <t>N</t>
        </is>
      </c>
      <c r="N19" s="34" t="inlineStr">
        <is>
          <t>Y</t>
        </is>
      </c>
      <c r="O19" s="34" t="inlineStr"/>
      <c r="P19" s="34" t="inlineStr">
        <is>
          <t>A</t>
        </is>
      </c>
      <c r="Q19" s="34" t="inlineStr">
        <is>
          <t>N</t>
        </is>
      </c>
      <c r="R19" s="35" t="inlineStr"/>
    </row>
    <row r="20" ht="18" customHeight="1">
      <c r="A20" s="29" t="inlineStr">
        <is>
          <t>E018</t>
        </is>
      </c>
      <c r="B20" s="29" t="inlineStr">
        <is>
          <t>Ryan</t>
        </is>
      </c>
      <c r="C20" s="29" t="inlineStr">
        <is>
          <t>Martin</t>
        </is>
      </c>
      <c r="D20" s="29" t="inlineStr">
        <is>
          <t>Sales</t>
        </is>
      </c>
      <c r="E20" s="29" t="inlineStr">
        <is>
          <t>Account Manager</t>
        </is>
      </c>
      <c r="F20" s="29" t="inlineStr">
        <is>
          <t>Full-time</t>
        </is>
      </c>
      <c r="G20" s="30" t="inlineStr">
        <is>
          <t>01/04/2021</t>
        </is>
      </c>
      <c r="H20" s="31" t="n">
        <v>50000</v>
      </c>
      <c r="I20" s="31" t="n">
        <v>10000</v>
      </c>
      <c r="J20" s="32">
        <f>H20+I20</f>
        <v/>
      </c>
      <c r="K20" s="33" t="n">
        <v>0.05</v>
      </c>
      <c r="L20" s="33" t="n">
        <v>0.03</v>
      </c>
      <c r="M20" s="34" t="inlineStr">
        <is>
          <t>N</t>
        </is>
      </c>
      <c r="N20" s="34" t="inlineStr">
        <is>
          <t>Y</t>
        </is>
      </c>
      <c r="O20" s="34" t="inlineStr"/>
      <c r="P20" s="34" t="inlineStr">
        <is>
          <t>A</t>
        </is>
      </c>
      <c r="Q20" s="34" t="inlineStr">
        <is>
          <t>N</t>
        </is>
      </c>
      <c r="R20" s="35" t="inlineStr"/>
    </row>
    <row r="21" ht="18" customHeight="1">
      <c r="A21" s="29" t="inlineStr">
        <is>
          <t>E019</t>
        </is>
      </c>
      <c r="B21" s="29" t="inlineStr">
        <is>
          <t>Zoe</t>
        </is>
      </c>
      <c r="C21" s="29" t="inlineStr">
        <is>
          <t>Garcia</t>
        </is>
      </c>
      <c r="D21" s="29" t="inlineStr">
        <is>
          <t>Sales</t>
        </is>
      </c>
      <c r="E21" s="29" t="inlineStr">
        <is>
          <t>Account Manager</t>
        </is>
      </c>
      <c r="F21" s="29" t="inlineStr">
        <is>
          <t>Full-time</t>
        </is>
      </c>
      <c r="G21" s="30" t="inlineStr">
        <is>
          <t>01/11/2022</t>
        </is>
      </c>
      <c r="H21" s="31" t="n">
        <v>48000</v>
      </c>
      <c r="I21" s="31" t="n">
        <v>8000</v>
      </c>
      <c r="J21" s="32">
        <f>H21+I21</f>
        <v/>
      </c>
      <c r="K21" s="33" t="n">
        <v>0.05</v>
      </c>
      <c r="L21" s="33" t="n">
        <v>0.03</v>
      </c>
      <c r="M21" s="34" t="inlineStr">
        <is>
          <t>N</t>
        </is>
      </c>
      <c r="N21" s="34" t="inlineStr">
        <is>
          <t>Y</t>
        </is>
      </c>
      <c r="O21" s="34" t="inlineStr"/>
      <c r="P21" s="34" t="inlineStr">
        <is>
          <t>A</t>
        </is>
      </c>
      <c r="Q21" s="34" t="inlineStr">
        <is>
          <t>N</t>
        </is>
      </c>
      <c r="R21" s="35" t="inlineStr"/>
    </row>
    <row r="22" ht="18" customHeight="1">
      <c r="A22" s="29" t="inlineStr">
        <is>
          <t>E020</t>
        </is>
      </c>
      <c r="B22" s="29" t="inlineStr">
        <is>
          <t>Harry</t>
        </is>
      </c>
      <c r="C22" s="29" t="inlineStr">
        <is>
          <t>Lee</t>
        </is>
      </c>
      <c r="D22" s="29" t="inlineStr">
        <is>
          <t>Sales</t>
        </is>
      </c>
      <c r="E22" s="29" t="inlineStr">
        <is>
          <t>Sales Executive</t>
        </is>
      </c>
      <c r="F22" s="29" t="inlineStr">
        <is>
          <t>Full-time</t>
        </is>
      </c>
      <c r="G22" s="30" t="inlineStr">
        <is>
          <t>01/06/2023</t>
        </is>
      </c>
      <c r="H22" s="31" t="n">
        <v>32000</v>
      </c>
      <c r="I22" s="31" t="n">
        <v>5000</v>
      </c>
      <c r="J22" s="32">
        <f>H22+I22</f>
        <v/>
      </c>
      <c r="K22" s="33" t="n">
        <v>0.05</v>
      </c>
      <c r="L22" s="33" t="n">
        <v>0.03</v>
      </c>
      <c r="M22" s="34" t="inlineStr">
        <is>
          <t>N</t>
        </is>
      </c>
      <c r="N22" s="34" t="inlineStr">
        <is>
          <t>Y</t>
        </is>
      </c>
      <c r="O22" s="34" t="inlineStr"/>
      <c r="P22" s="34" t="inlineStr">
        <is>
          <t>A</t>
        </is>
      </c>
      <c r="Q22" s="34" t="inlineStr">
        <is>
          <t>N</t>
        </is>
      </c>
      <c r="R22" s="35" t="inlineStr"/>
    </row>
    <row r="23" ht="18" customHeight="1">
      <c r="A23" s="29" t="inlineStr">
        <is>
          <t>E021</t>
        </is>
      </c>
      <c r="B23" s="29" t="inlineStr">
        <is>
          <t>Lily</t>
        </is>
      </c>
      <c r="C23" s="29" t="inlineStr">
        <is>
          <t>Walker</t>
        </is>
      </c>
      <c r="D23" s="29" t="inlineStr">
        <is>
          <t>Tech</t>
        </is>
      </c>
      <c r="E23" s="29" t="inlineStr">
        <is>
          <t>CTO</t>
        </is>
      </c>
      <c r="F23" s="29" t="inlineStr">
        <is>
          <t>Full-time</t>
        </is>
      </c>
      <c r="G23" s="30" t="inlineStr">
        <is>
          <t>01/01/2018</t>
        </is>
      </c>
      <c r="H23" s="31" t="n">
        <v>160000</v>
      </c>
      <c r="I23" s="31" t="n">
        <v>18000</v>
      </c>
      <c r="J23" s="32">
        <f>H23+I23</f>
        <v/>
      </c>
      <c r="K23" s="33" t="n">
        <v>0.05</v>
      </c>
      <c r="L23" s="33" t="n">
        <v>0.03</v>
      </c>
      <c r="M23" s="34" t="inlineStr">
        <is>
          <t>N</t>
        </is>
      </c>
      <c r="N23" s="34" t="inlineStr">
        <is>
          <t>Y</t>
        </is>
      </c>
      <c r="O23" s="34" t="inlineStr"/>
      <c r="P23" s="34" t="inlineStr">
        <is>
          <t>A</t>
        </is>
      </c>
      <c r="Q23" s="34" t="inlineStr">
        <is>
          <t>N</t>
        </is>
      </c>
      <c r="R23" s="35" t="inlineStr"/>
    </row>
    <row r="24" ht="18" customHeight="1">
      <c r="A24" s="29" t="inlineStr">
        <is>
          <t>E022</t>
        </is>
      </c>
      <c r="B24" s="29" t="inlineStr">
        <is>
          <t>Dan</t>
        </is>
      </c>
      <c r="C24" s="29" t="inlineStr">
        <is>
          <t>Hall</t>
        </is>
      </c>
      <c r="D24" s="29" t="inlineStr">
        <is>
          <t>Tech</t>
        </is>
      </c>
      <c r="E24" s="29" t="inlineStr">
        <is>
          <t>Lead Developer</t>
        </is>
      </c>
      <c r="F24" s="29" t="inlineStr">
        <is>
          <t>Full-time</t>
        </is>
      </c>
      <c r="G24" s="30" t="inlineStr">
        <is>
          <t>01/03/2020</t>
        </is>
      </c>
      <c r="H24" s="31" t="n">
        <v>90000</v>
      </c>
      <c r="I24" s="31" t="n">
        <v>8000</v>
      </c>
      <c r="J24" s="32">
        <f>H24+I24</f>
        <v/>
      </c>
      <c r="K24" s="33" t="n">
        <v>0.05</v>
      </c>
      <c r="L24" s="33" t="n">
        <v>0.03</v>
      </c>
      <c r="M24" s="34" t="inlineStr">
        <is>
          <t>N</t>
        </is>
      </c>
      <c r="N24" s="34" t="inlineStr">
        <is>
          <t>Y</t>
        </is>
      </c>
      <c r="O24" s="34" t="inlineStr"/>
      <c r="P24" s="34" t="inlineStr">
        <is>
          <t>A</t>
        </is>
      </c>
      <c r="Q24" s="34" t="inlineStr">
        <is>
          <t>N</t>
        </is>
      </c>
      <c r="R24" s="35" t="inlineStr"/>
    </row>
    <row r="25" ht="18" customHeight="1">
      <c r="A25" s="29" t="inlineStr">
        <is>
          <t>E023</t>
        </is>
      </c>
      <c r="B25" s="29" t="inlineStr">
        <is>
          <t>Mia</t>
        </is>
      </c>
      <c r="C25" s="29" t="inlineStr">
        <is>
          <t>Allen</t>
        </is>
      </c>
      <c r="D25" s="29" t="inlineStr">
        <is>
          <t>Tech</t>
        </is>
      </c>
      <c r="E25" s="29" t="inlineStr">
        <is>
          <t>Developer</t>
        </is>
      </c>
      <c r="F25" s="29" t="inlineStr">
        <is>
          <t>Full-time</t>
        </is>
      </c>
      <c r="G25" s="30" t="inlineStr">
        <is>
          <t>01/06/2021</t>
        </is>
      </c>
      <c r="H25" s="31" t="n">
        <v>65000</v>
      </c>
      <c r="I25" s="31" t="n">
        <v>5000</v>
      </c>
      <c r="J25" s="32">
        <f>H25+I25</f>
        <v/>
      </c>
      <c r="K25" s="33" t="n">
        <v>0.05</v>
      </c>
      <c r="L25" s="33" t="n">
        <v>0.03</v>
      </c>
      <c r="M25" s="34" t="inlineStr">
        <is>
          <t>N</t>
        </is>
      </c>
      <c r="N25" s="34" t="inlineStr">
        <is>
          <t>Y</t>
        </is>
      </c>
      <c r="O25" s="34" t="inlineStr"/>
      <c r="P25" s="34" t="inlineStr">
        <is>
          <t>A</t>
        </is>
      </c>
      <c r="Q25" s="34" t="inlineStr">
        <is>
          <t>N</t>
        </is>
      </c>
      <c r="R25" s="35" t="inlineStr"/>
    </row>
    <row r="26" ht="18" customHeight="1">
      <c r="A26" s="29" t="inlineStr">
        <is>
          <t>E024</t>
        </is>
      </c>
      <c r="B26" s="29" t="inlineStr">
        <is>
          <t>Joe</t>
        </is>
      </c>
      <c r="C26" s="29" t="inlineStr">
        <is>
          <t>Young</t>
        </is>
      </c>
      <c r="D26" s="29" t="inlineStr">
        <is>
          <t>Tech</t>
        </is>
      </c>
      <c r="E26" s="29" t="inlineStr">
        <is>
          <t>Developer</t>
        </is>
      </c>
      <c r="F26" s="29" t="inlineStr">
        <is>
          <t>Full-time</t>
        </is>
      </c>
      <c r="G26" s="30" t="inlineStr">
        <is>
          <t>01/09/2022</t>
        </is>
      </c>
      <c r="H26" s="31" t="n">
        <v>58000</v>
      </c>
      <c r="I26" s="31" t="n">
        <v>4000</v>
      </c>
      <c r="J26" s="32">
        <f>H26+I26</f>
        <v/>
      </c>
      <c r="K26" s="33" t="n">
        <v>0.05</v>
      </c>
      <c r="L26" s="33" t="n">
        <v>0.03</v>
      </c>
      <c r="M26" s="34" t="inlineStr">
        <is>
          <t>N</t>
        </is>
      </c>
      <c r="N26" s="34" t="inlineStr">
        <is>
          <t>Y</t>
        </is>
      </c>
      <c r="O26" s="34" t="inlineStr"/>
      <c r="P26" s="34" t="inlineStr">
        <is>
          <t>A</t>
        </is>
      </c>
      <c r="Q26" s="34" t="inlineStr">
        <is>
          <t>N</t>
        </is>
      </c>
      <c r="R26" s="35" t="inlineStr"/>
    </row>
    <row r="27" ht="18" customHeight="1">
      <c r="A27" s="29" t="inlineStr">
        <is>
          <t>E025</t>
        </is>
      </c>
      <c r="B27" s="29" t="inlineStr">
        <is>
          <t>Ella</t>
        </is>
      </c>
      <c r="C27" s="29" t="inlineStr">
        <is>
          <t>King</t>
        </is>
      </c>
      <c r="D27" s="29" t="inlineStr">
        <is>
          <t>Tech</t>
        </is>
      </c>
      <c r="E27" s="29" t="inlineStr">
        <is>
          <t>Junior Developer</t>
        </is>
      </c>
      <c r="F27" s="29" t="inlineStr">
        <is>
          <t>Full-time</t>
        </is>
      </c>
      <c r="G27" s="30" t="inlineStr">
        <is>
          <t>01/01/2025</t>
        </is>
      </c>
      <c r="H27" s="31" t="n">
        <v>35000</v>
      </c>
      <c r="I27" s="31" t="n">
        <v>0</v>
      </c>
      <c r="J27" s="32">
        <f>H27+I27</f>
        <v/>
      </c>
      <c r="K27" s="33" t="n">
        <v>0.05</v>
      </c>
      <c r="L27" s="33" t="n">
        <v>0.03</v>
      </c>
      <c r="M27" s="34" t="inlineStr">
        <is>
          <t>N</t>
        </is>
      </c>
      <c r="N27" s="34" t="inlineStr">
        <is>
          <t>Y</t>
        </is>
      </c>
      <c r="O27" s="34" t="inlineStr"/>
      <c r="P27" s="34" t="inlineStr">
        <is>
          <t>A</t>
        </is>
      </c>
      <c r="Q27" s="34" t="inlineStr">
        <is>
          <t>N</t>
        </is>
      </c>
      <c r="R27" s="35" t="inlineStr"/>
    </row>
    <row r="28" ht="22" customHeight="1">
      <c r="A28" s="36" t="inlineStr">
        <is>
          <t>TOTALS</t>
        </is>
      </c>
      <c r="H28" s="37">
        <f>SUM(H3:H27)</f>
        <v/>
      </c>
      <c r="I28" s="37">
        <f>SUM(I3:I27)</f>
        <v/>
      </c>
      <c r="J28" s="37">
        <f>SUM(J3:J27)</f>
        <v/>
      </c>
    </row>
  </sheetData>
  <mergeCells count="2">
    <mergeCell ref="A1:R1"/>
    <mergeCell ref="A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 ht="36" customHeight="1">
      <c r="A1" s="28" t="inlineStr">
        <is>
          <t>TAX &amp; NI LOOKUP TABLES — Referenced by Calculation Engine</t>
        </is>
      </c>
    </row>
    <row r="3" ht="22" customHeight="1">
      <c r="B3" s="16" t="inlineStr">
        <is>
          <t>ANNUAL NI THRESHOLDS (Weekly × 52)</t>
        </is>
      </c>
      <c r="C3" s="17" t="n"/>
      <c r="D3" s="18" t="n"/>
    </row>
    <row r="4">
      <c r="B4" s="22" t="inlineStr">
        <is>
          <t>Threshold</t>
        </is>
      </c>
      <c r="C4" s="22" t="inlineStr">
        <is>
          <t>Weekly £</t>
        </is>
      </c>
      <c r="D4" s="22" t="inlineStr">
        <is>
          <t>Annual £</t>
        </is>
      </c>
    </row>
    <row r="5" ht="18" customHeight="1">
      <c r="B5" s="19" t="inlineStr">
        <is>
          <t>Lower Earnings Limit (LEL)</t>
        </is>
      </c>
      <c r="C5" s="38" t="n">
        <v>123</v>
      </c>
      <c r="D5" s="39">
        <f>C5*52</f>
        <v/>
      </c>
    </row>
    <row r="6" ht="18" customHeight="1">
      <c r="B6" s="19" t="inlineStr">
        <is>
          <t>Primary Threshold (PT)</t>
        </is>
      </c>
      <c r="C6" s="38" t="n">
        <v>242</v>
      </c>
      <c r="D6" s="39">
        <f>C6*52</f>
        <v/>
      </c>
    </row>
    <row r="7" ht="18" customHeight="1">
      <c r="B7" s="19" t="inlineStr">
        <is>
          <t>Upper Earnings Limit (UEL)</t>
        </is>
      </c>
      <c r="C7" s="38" t="n">
        <v>967</v>
      </c>
      <c r="D7" s="39">
        <f>C7*52</f>
        <v/>
      </c>
    </row>
    <row r="8" ht="18" customHeight="1">
      <c r="B8" s="19" t="inlineStr">
        <is>
          <t>Secondary Threshold (ST)</t>
        </is>
      </c>
      <c r="C8" s="38" t="n">
        <v>175</v>
      </c>
      <c r="D8" s="39">
        <f>C8*52</f>
        <v/>
      </c>
    </row>
    <row r="11" ht="22" customHeight="1">
      <c r="B11" s="16" t="inlineStr">
        <is>
          <t>INCOME TAX QUICK REFERENCE</t>
        </is>
      </c>
      <c r="C11" s="17" t="n"/>
      <c r="D11" s="18" t="n"/>
    </row>
    <row r="12">
      <c r="B12" s="22" t="inlineStr">
        <is>
          <t>Description</t>
        </is>
      </c>
      <c r="C12" s="22" t="inlineStr">
        <is>
          <t>Value</t>
        </is>
      </c>
      <c r="D12" s="22" t="inlineStr">
        <is>
          <t>Source</t>
        </is>
      </c>
    </row>
    <row r="13" ht="18" customHeight="1">
      <c r="B13" s="19" t="inlineStr">
        <is>
          <t>Personal Allowance</t>
        </is>
      </c>
      <c r="C13" s="38" t="n">
        <v>12570</v>
      </c>
      <c r="D13" s="40" t="inlineStr">
        <is>
          <t>ASSUMPTIONS!C15</t>
        </is>
      </c>
    </row>
    <row r="14" ht="18" customHeight="1">
      <c r="B14" s="19" t="inlineStr">
        <is>
          <t>Basic Rate (20%)</t>
        </is>
      </c>
      <c r="C14" s="41" t="n">
        <v>0.2</v>
      </c>
      <c r="D14" s="40" t="inlineStr">
        <is>
          <t>ASSUMPTIONS!E15</t>
        </is>
      </c>
    </row>
    <row r="15" ht="18" customHeight="1">
      <c r="B15" s="19" t="inlineStr">
        <is>
          <t>Higher Rate (40%)</t>
        </is>
      </c>
      <c r="C15" s="41" t="n">
        <v>0.4</v>
      </c>
      <c r="D15" s="40" t="inlineStr">
        <is>
          <t>ASSUMPTIONS!E16</t>
        </is>
      </c>
    </row>
    <row r="16" ht="18" customHeight="1">
      <c r="B16" s="19" t="inlineStr">
        <is>
          <t>Additional Rate (45%)</t>
        </is>
      </c>
      <c r="C16" s="41" t="n">
        <v>0.45</v>
      </c>
      <c r="D16" s="40" t="inlineStr">
        <is>
          <t>ASSUMPTIONS!E17</t>
        </is>
      </c>
    </row>
    <row r="17" ht="18" customHeight="1">
      <c r="B17" s="19" t="inlineStr">
        <is>
          <t>HR Threshold (annual)</t>
        </is>
      </c>
      <c r="C17" s="38" t="n">
        <v>50270</v>
      </c>
      <c r="D17" s="40" t="inlineStr">
        <is>
          <t>ASSUMPTIONS!C16</t>
        </is>
      </c>
    </row>
    <row r="18" ht="18" customHeight="1">
      <c r="B18" s="19" t="inlineStr">
        <is>
          <t>AR Threshold (annual)</t>
        </is>
      </c>
      <c r="C18" s="38" t="n">
        <v>125140</v>
      </c>
      <c r="D18" s="40" t="inlineStr">
        <is>
          <t>ASSUMPTIONS!C17</t>
        </is>
      </c>
    </row>
    <row r="19" ht="18" customHeight="1">
      <c r="B19" s="19" t="inlineStr">
        <is>
          <t>PA Taper Start</t>
        </is>
      </c>
      <c r="C19" s="38" t="n">
        <v>100000</v>
      </c>
      <c r="D19" s="40" t="inlineStr">
        <is>
          <t>ASSUMPTIONS!C18</t>
        </is>
      </c>
    </row>
    <row r="22" ht="22" customHeight="1">
      <c r="B22" s="16" t="inlineStr">
        <is>
          <t>NI RATES QUICK REFERENCE</t>
        </is>
      </c>
      <c r="C22" s="17" t="n"/>
      <c r="D22" s="18" t="n"/>
    </row>
    <row r="23">
      <c r="B23" s="22" t="inlineStr">
        <is>
          <t>Description</t>
        </is>
      </c>
      <c r="C23" s="22" t="inlineStr">
        <is>
          <t>Rate</t>
        </is>
      </c>
      <c r="D23" s="22" t="inlineStr">
        <is>
          <t>Source</t>
        </is>
      </c>
    </row>
    <row r="24" ht="18" customHeight="1">
      <c r="B24" s="19" t="inlineStr">
        <is>
          <t>EE NI: PT to UEL</t>
        </is>
      </c>
      <c r="C24" s="41" t="n">
        <v>0.08</v>
      </c>
    </row>
    <row r="25" ht="18" customHeight="1">
      <c r="B25" s="19" t="inlineStr">
        <is>
          <t>EE NI: Above UEL</t>
        </is>
      </c>
      <c r="C25" s="41" t="n">
        <v>0.02</v>
      </c>
    </row>
    <row r="26" ht="18" customHeight="1">
      <c r="B26" s="19" t="inlineStr">
        <is>
          <t>ER NI: At/above ST</t>
        </is>
      </c>
      <c r="C26" s="41" t="n">
        <v>0.138</v>
      </c>
    </row>
    <row r="27" ht="18" customHeight="1">
      <c r="B27" s="19" t="inlineStr">
        <is>
          <t>PT Annual</t>
        </is>
      </c>
      <c r="C27" s="38" t="n">
        <v>12570</v>
      </c>
    </row>
    <row r="28" ht="18" customHeight="1">
      <c r="B28" s="19" t="inlineStr">
        <is>
          <t>UEL Annual</t>
        </is>
      </c>
      <c r="C28" s="38" t="n">
        <v>50270</v>
      </c>
    </row>
    <row r="29" ht="18" customHeight="1">
      <c r="B29" s="19" t="inlineStr">
        <is>
          <t>ST Annual</t>
        </is>
      </c>
      <c r="C29" s="38" t="n">
        <v>9100</v>
      </c>
    </row>
  </sheetData>
  <mergeCells count="4">
    <mergeCell ref="B11:D11"/>
    <mergeCell ref="A1:E1"/>
    <mergeCell ref="B22:D22"/>
    <mergeCell ref="B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  <col width="9" customWidth="1" min="9" max="9"/>
    <col width="9" customWidth="1" min="10" max="10"/>
    <col width="10" customWidth="1" min="11" max="11"/>
    <col width="13" customWidth="1" min="12" max="12"/>
    <col width="12" customWidth="1" min="13" max="13"/>
    <col width="13" customWidth="1" min="14" max="14"/>
    <col width="12" customWidth="1" min="15" max="15"/>
    <col width="12" customWidth="1" min="16" max="16"/>
    <col width="14" customWidth="1" min="17" max="17"/>
    <col width="13" customWidth="1" min="18" max="18"/>
    <col width="13" customWidth="1" min="19" max="19"/>
    <col width="12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2" customWidth="1" min="27" max="27"/>
    <col width="13" customWidth="1" min="28" max="28"/>
    <col width="13" customWidth="1" min="29" max="29"/>
    <col width="14" customWidth="1" min="30" max="30"/>
    <col width="12" customWidth="1" min="31" max="31"/>
    <col width="13" customWidth="1" min="32" max="32"/>
    <col width="13" customWidth="1" min="33" max="33"/>
    <col width="13" customWidth="1" min="34" max="34"/>
    <col width="14" customWidth="1" min="35" max="35"/>
    <col width="14" customWidth="1" min="36" max="36"/>
    <col width="13" customWidth="1" min="37" max="37"/>
    <col width="14" customWidth="1" min="38" max="38"/>
    <col width="13" customWidth="1" min="39" max="39"/>
    <col width="13" customWidth="1" min="40" max="40"/>
    <col width="14" customWidth="1" min="41" max="41"/>
    <col width="15" customWidth="1" min="42" max="42"/>
    <col width="12" customWidth="1" min="43" max="43"/>
    <col width="12" customWidth="1" min="44" max="44"/>
    <col width="10" customWidth="1" min="45" max="45"/>
  </cols>
  <sheetData>
    <row r="1" ht="36" customHeight="1">
      <c r="A1" s="42" t="inlineStr">
        <is>
          <t>SALARY SACRIFICE CALCULATION ENGINE  |  All formulas link to ASSUMPTIONS &amp; EMPLOYEE_DATA  |  Do not edit formula cells</t>
        </is>
      </c>
    </row>
    <row r="2" ht="28" customHeight="1">
      <c r="A2" s="43" t="inlineStr">
        <is>
          <t>EMPLOYEE</t>
        </is>
      </c>
      <c r="B2" s="44" t="n"/>
      <c r="C2" s="45" t="n"/>
      <c r="D2" s="43" t="inlineStr">
        <is>
          <t>EARNINGS</t>
        </is>
      </c>
      <c r="E2" s="44" t="n"/>
      <c r="F2" s="45" t="n"/>
      <c r="G2" s="46" t="inlineStr">
        <is>
          <t>PENSION SETUP</t>
        </is>
      </c>
      <c r="H2" s="44" t="n"/>
      <c r="I2" s="44" t="n"/>
      <c r="J2" s="44" t="n"/>
      <c r="K2" s="45" t="n"/>
      <c r="L2" s="47" t="inlineStr">
        <is>
          <t>PRE-SACRIFICE BASELINE</t>
        </is>
      </c>
      <c r="M2" s="44" t="n"/>
      <c r="N2" s="44" t="n"/>
      <c r="O2" s="44" t="n"/>
      <c r="P2" s="44" t="n"/>
      <c r="Q2" s="44" t="n"/>
      <c r="R2" s="44" t="n"/>
      <c r="S2" s="44" t="n"/>
      <c r="T2" s="44" t="n"/>
      <c r="U2" s="45" t="n"/>
      <c r="V2" s="48" t="inlineStr">
        <is>
          <t>POST-SACRIFICE</t>
        </is>
      </c>
      <c r="W2" s="44" t="n"/>
      <c r="X2" s="44" t="n"/>
      <c r="Y2" s="44" t="n"/>
      <c r="Z2" s="44" t="n"/>
      <c r="AA2" s="44" t="n"/>
      <c r="AB2" s="44" t="n"/>
      <c r="AC2" s="44" t="n"/>
      <c r="AD2" s="44" t="n"/>
      <c r="AE2" s="44" t="n"/>
      <c r="AF2" s="44" t="n"/>
      <c r="AG2" s="44" t="n"/>
      <c r="AH2" s="44" t="n"/>
      <c r="AI2" s="45" t="n"/>
      <c r="AJ2" s="49" t="inlineStr">
        <is>
          <t>IMPACT ANALYSIS</t>
        </is>
      </c>
      <c r="AK2" s="44" t="n"/>
      <c r="AL2" s="44" t="n"/>
      <c r="AM2" s="44" t="n"/>
      <c r="AN2" s="44" t="n"/>
      <c r="AO2" s="44" t="n"/>
      <c r="AP2" s="44" t="n"/>
      <c r="AQ2" s="44" t="n"/>
      <c r="AR2" s="45" t="n"/>
      <c r="AS2" s="50" t="inlineStr">
        <is>
          <t>CHECKS</t>
        </is>
      </c>
    </row>
    <row r="3" ht="40" customHeight="1">
      <c r="A3" s="43" t="inlineStr">
        <is>
          <t>Emp ID</t>
        </is>
      </c>
      <c r="B3" s="43" t="inlineStr">
        <is>
          <t>Name</t>
        </is>
      </c>
      <c r="C3" s="43" t="inlineStr">
        <is>
          <t>Department</t>
        </is>
      </c>
      <c r="D3" s="43" t="inlineStr">
        <is>
          <t>Basic Salary £</t>
        </is>
      </c>
      <c r="E3" s="43" t="inlineStr">
        <is>
          <t>Bonus £</t>
        </is>
      </c>
      <c r="F3" s="43" t="inlineStr">
        <is>
          <t>Total Earnings £</t>
        </is>
      </c>
      <c r="G3" s="46" t="inlineStr">
        <is>
          <t>Pension Basis</t>
        </is>
      </c>
      <c r="H3" s="46" t="inlineStr">
        <is>
          <t>Pensionable Pay £</t>
        </is>
      </c>
      <c r="I3" s="46" t="inlineStr">
        <is>
          <t>EE Rate %</t>
        </is>
      </c>
      <c r="J3" s="46" t="inlineStr">
        <is>
          <t>ER Rate %</t>
        </is>
      </c>
      <c r="K3" s="46" t="inlineStr">
        <is>
          <t>Sacrifice On?</t>
        </is>
      </c>
      <c r="L3" s="47" t="inlineStr">
        <is>
          <t>Gross Pay £</t>
        </is>
      </c>
      <c r="M3" s="47" t="inlineStr">
        <is>
          <t>Eff. PA £</t>
        </is>
      </c>
      <c r="N3" s="47" t="inlineStr">
        <is>
          <t>Taxable Inc £</t>
        </is>
      </c>
      <c r="O3" s="47" t="inlineStr">
        <is>
          <t>PAYE Tax £</t>
        </is>
      </c>
      <c r="P3" s="47" t="inlineStr">
        <is>
          <t>EE NI £</t>
        </is>
      </c>
      <c r="Q3" s="47" t="inlineStr">
        <is>
          <t>EE Pension £
(Net Pay/RAS)</t>
        </is>
      </c>
      <c r="R3" s="47" t="inlineStr">
        <is>
          <t>Take-Home £
(Pre)</t>
        </is>
      </c>
      <c r="S3" s="47" t="inlineStr">
        <is>
          <t>ER Pension £</t>
        </is>
      </c>
      <c r="T3" s="47" t="inlineStr">
        <is>
          <t>ER NI £</t>
        </is>
      </c>
      <c r="U3" s="47" t="inlineStr">
        <is>
          <t>Total ER Cost £</t>
        </is>
      </c>
      <c r="V3" s="48" t="inlineStr">
        <is>
          <t>Sacrificed £</t>
        </is>
      </c>
      <c r="W3" s="48" t="inlineStr">
        <is>
          <t>Post-Sac Gross £</t>
        </is>
      </c>
      <c r="X3" s="48" t="inlineStr">
        <is>
          <t>Eff. PA (Post) £</t>
        </is>
      </c>
      <c r="Y3" s="48" t="inlineStr">
        <is>
          <t>Taxable Inc
(Post) £</t>
        </is>
      </c>
      <c r="Z3" s="48" t="inlineStr">
        <is>
          <t>PAYE Tax
(Post) £</t>
        </is>
      </c>
      <c r="AA3" s="48" t="inlineStr">
        <is>
          <t>EE NI
(Post) £</t>
        </is>
      </c>
      <c r="AB3" s="48" t="inlineStr">
        <is>
          <t>EE Pension £
(SS)</t>
        </is>
      </c>
      <c r="AC3" s="48" t="inlineStr">
        <is>
          <t>Take-Home £
(Post)</t>
        </is>
      </c>
      <c r="AD3" s="48" t="inlineStr">
        <is>
          <t>ER Pension £
(Post)</t>
        </is>
      </c>
      <c r="AE3" s="48" t="inlineStr">
        <is>
          <t>ER NI
(Post) £</t>
        </is>
      </c>
      <c r="AF3" s="48" t="inlineStr">
        <is>
          <t>ER NI Saving £</t>
        </is>
      </c>
      <c r="AG3" s="48" t="inlineStr">
        <is>
          <t>NI Share→EE £</t>
        </is>
      </c>
      <c r="AH3" s="48" t="inlineStr">
        <is>
          <t>NI Retain/
Reinvest £</t>
        </is>
      </c>
      <c r="AI3" s="48" t="inlineStr">
        <is>
          <t>Total ER Cost
(Post) £</t>
        </is>
      </c>
      <c r="AJ3" s="49" t="inlineStr">
        <is>
          <t>Take-Home
Change £</t>
        </is>
      </c>
      <c r="AK3" s="49" t="inlineStr">
        <is>
          <t>Take-Home
Change %</t>
        </is>
      </c>
      <c r="AL3" s="49" t="inlineStr">
        <is>
          <t>EE Pension
Change £</t>
        </is>
      </c>
      <c r="AM3" s="49" t="inlineStr">
        <is>
          <t>ER Cost
Change £</t>
        </is>
      </c>
      <c r="AN3" s="49" t="inlineStr">
        <is>
          <t>ER NI
Saving £</t>
        </is>
      </c>
      <c r="AO3" s="49" t="inlineStr">
        <is>
          <t>Total Pension
(EE+ER) £</t>
        </is>
      </c>
      <c r="AP3" s="49" t="inlineStr">
        <is>
          <t>Ann Allowance
Remaining £</t>
        </is>
      </c>
      <c r="AQ3" s="49" t="inlineStr">
        <is>
          <t>Tax Band
(Pre)</t>
        </is>
      </c>
      <c r="AR3" s="49" t="inlineStr">
        <is>
          <t>Tax Band
(Post)</t>
        </is>
      </c>
      <c r="AS3" s="50" t="inlineStr">
        <is>
          <t>Flags</t>
        </is>
      </c>
    </row>
    <row r="4" ht="18" customHeight="1">
      <c r="A4" s="51">
        <f>EMPLOYEE_DATA!A3</f>
        <v/>
      </c>
      <c r="B4" s="51">
        <f>EMPLOYEE_DATA!B3&amp;" "&amp;EMPLOYEE_DATA!C3</f>
        <v/>
      </c>
      <c r="C4" s="51">
        <f>EMPLOYEE_DATA!D3</f>
        <v/>
      </c>
      <c r="D4" s="52">
        <f>EMPLOYEE_DATA!H3</f>
        <v/>
      </c>
      <c r="E4" s="52">
        <f>EMPLOYEE_DATA!I3</f>
        <v/>
      </c>
      <c r="F4" s="53">
        <f>EMPLOYEE_DATA!J3</f>
        <v/>
      </c>
      <c r="G4" s="54">
        <f>IF(EMPLOYEE_DATA!O3&lt;&gt;"",EMPLOYEE_DATA!O3,ASSUMPTIONS!$C$48)</f>
        <v/>
      </c>
      <c r="H4" s="55">
        <f>IF(G4="Qualifying Earnings",MAX(0,MIN(F4,ASSUMPTIONS!$C$39)-ASSUMPTIONS!$C$38),IF(G4="Full Salary",D4,F4))</f>
        <v/>
      </c>
      <c r="I4" s="56">
        <f>IF(EMPLOYEE_DATA!M3="Y",EMPLOYEE_DATA!K3,ASSUMPTIONS!$C$46)</f>
        <v/>
      </c>
      <c r="J4" s="56">
        <f>IF(EMPLOYEE_DATA!M3="Y",EMPLOYEE_DATA!L3,ASSUMPTIONS!$C$47)</f>
        <v/>
      </c>
      <c r="K4" s="54">
        <f>IF(AND(EMPLOYEE_DATA!N3="Y",ASSUMPTIONS!$C$62="On"),"Yes","No")</f>
        <v/>
      </c>
      <c r="L4" s="57">
        <f>F4</f>
        <v/>
      </c>
      <c r="M4" s="57">
        <f>MAX(0,IF(L4&lt;=ASSUMPTIONS!$C$18,ASSUMPTIONS!$C$15,ASSUMPTIONS!$C$15-INT((L4-ASSUMPTIONS!$C$18)/2)))</f>
        <v/>
      </c>
      <c r="N4" s="57">
        <f>MAX(0,L4-M4)</f>
        <v/>
      </c>
      <c r="O4" s="57">
        <f>MAX(0,MIN(N4,MAX(0,ASSUMPTIONS!$C$16-M4))*ASSUMPTIONS!$E$15+MAX(0,MIN(N4,ASSUMPTIONS!$C$17-M4)-MAX(0,ASSUMPTIONS!$C$16-M4))*ASSUMPTIONS!$E$16+MAX(0,N4-MAX(0,ASSUMPTIONS!$C$17-M4))*ASSUMPTIONS!$E$17)</f>
        <v/>
      </c>
      <c r="P4" s="57">
        <f>MAX(0,MIN(L4,TAX_NI_TABLES!$D$7)-TAX_NI_TABLES!$D$6)*ASSUMPTIONS!$E$25+MAX(0,L4-TAX_NI_TABLES!$D$7)*ASSUMPTIONS!$E$26</f>
        <v/>
      </c>
      <c r="Q4" s="57">
        <f>H4*I4</f>
        <v/>
      </c>
      <c r="R4" s="58">
        <f>L4-O4-P4-Q4</f>
        <v/>
      </c>
      <c r="S4" s="57">
        <f>H4*J4</f>
        <v/>
      </c>
      <c r="T4" s="57">
        <f>MAX(0,L4-TAX_NI_TABLES!$D$8)*ASSUMPTIONS!$E$32</f>
        <v/>
      </c>
      <c r="U4" s="58">
        <f>L4+S4+T4</f>
        <v/>
      </c>
      <c r="V4" s="59">
        <f>IF(K4="Yes",H4*I4,0)</f>
        <v/>
      </c>
      <c r="W4" s="60">
        <f>L4-V4</f>
        <v/>
      </c>
      <c r="X4" s="59">
        <f>MAX(0,IF(W4&lt;=ASSUMPTIONS!$C$18,ASSUMPTIONS!$C$15,ASSUMPTIONS!$C$15-INT((W4-ASSUMPTIONS!$C$18)/2)))</f>
        <v/>
      </c>
      <c r="Y4" s="59">
        <f>MAX(0,W4-X4)</f>
        <v/>
      </c>
      <c r="Z4" s="59">
        <f>MAX(0,MIN(Y4,MAX(0,ASSUMPTIONS!$C$16-X4))*ASSUMPTIONS!$E$15+MAX(0,MIN(Y4,ASSUMPTIONS!$C$17-X4)-MAX(0,ASSUMPTIONS!$C$16-X4))*ASSUMPTIONS!$E$16+MAX(0,Y4-MAX(0,ASSUMPTIONS!$C$17-X4))*ASSUMPTIONS!$E$17)</f>
        <v/>
      </c>
      <c r="AA4" s="59">
        <f>MAX(0,MIN(W4,TAX_NI_TABLES!$D$7)-TAX_NI_TABLES!$D$6)*ASSUMPTIONS!$E$25+MAX(0,W4-TAX_NI_TABLES!$D$7)*ASSUMPTIONS!$E$26</f>
        <v/>
      </c>
      <c r="AB4" s="59">
        <f>V4</f>
        <v/>
      </c>
      <c r="AC4" s="60">
        <f>W4-Z4-AA4+AG4</f>
        <v/>
      </c>
      <c r="AD4" s="59">
        <f>H4*J4+IF(ASSUMPTIONS!$C$53="Reinvest in Pension",AF4*ASSUMPTIONS!$C$55,0)</f>
        <v/>
      </c>
      <c r="AE4" s="59">
        <f>MAX(0,W4-TAX_NI_TABLES!$D$8)*ASSUMPTIONS!$E$32</f>
        <v/>
      </c>
      <c r="AF4" s="61">
        <f>MAX(0,T4-AE4)</f>
        <v/>
      </c>
      <c r="AG4" s="59">
        <f>IF(ASSUMPTIONS!$C$53="Share with Employees",AF4*ASSUMPTIONS!$C$55,0)</f>
        <v/>
      </c>
      <c r="AH4" s="59">
        <f>AF4-AG4</f>
        <v/>
      </c>
      <c r="AI4" s="60">
        <f>W4+AD4+AE4+AG4</f>
        <v/>
      </c>
      <c r="AJ4" s="32">
        <f>AC4-R4</f>
        <v/>
      </c>
      <c r="AK4" s="62">
        <f>IF(R4&lt;&gt;0,(AC4-R4)/R4,0)</f>
        <v/>
      </c>
      <c r="AL4" s="55">
        <f>AB4-Q4</f>
        <v/>
      </c>
      <c r="AM4" s="55">
        <f>AI4-U4</f>
        <v/>
      </c>
      <c r="AN4" s="32">
        <f>AH4</f>
        <v/>
      </c>
      <c r="AO4" s="32">
        <f>AB4+AD4</f>
        <v/>
      </c>
      <c r="AP4" s="55">
        <f>ASSUMPTIONS!$C$40-AO4</f>
        <v/>
      </c>
      <c r="AQ4" s="54">
        <f>IF(F4&lt;=ASSUMPTIONS!$C$15,"Personal Allowance",IF(F4&lt;=ASSUMPTIONS!$C$16,"Basic Rate",IF(F4&lt;=ASSUMPTIONS!$C$17,"Higher Rate","Additional Rate")))</f>
        <v/>
      </c>
      <c r="AR4" s="54">
        <f>IF(W4&lt;=ASSUMPTIONS!$C$15,"Personal Allowance",IF(W4&lt;=ASSUMPTIONS!$C$16,"Basic Rate",IF(W4&lt;=ASSUMPTIONS!$C$17,"Higher Rate","Additional Rate")))</f>
        <v/>
      </c>
      <c r="AS4" s="63">
        <f>IF(AP4&lt;0,"⚠ AA Breach!","")&amp;IF(V4&gt;F4,"⚠ Sacrifice&gt;Salary","")&amp;IF(AC4&lt;0,"⚠ Neg Take-Home","")</f>
        <v/>
      </c>
    </row>
    <row r="5" ht="18" customHeight="1">
      <c r="A5" s="64">
        <f>EMPLOYEE_DATA!A4</f>
        <v/>
      </c>
      <c r="B5" s="64">
        <f>EMPLOYEE_DATA!B4&amp;" "&amp;EMPLOYEE_DATA!C4</f>
        <v/>
      </c>
      <c r="C5" s="64">
        <f>EMPLOYEE_DATA!D4</f>
        <v/>
      </c>
      <c r="D5" s="65">
        <f>EMPLOYEE_DATA!H4</f>
        <v/>
      </c>
      <c r="E5" s="65">
        <f>EMPLOYEE_DATA!I4</f>
        <v/>
      </c>
      <c r="F5" s="66">
        <f>EMPLOYEE_DATA!J4</f>
        <v/>
      </c>
      <c r="G5" s="54">
        <f>IF(EMPLOYEE_DATA!O4&lt;&gt;"",EMPLOYEE_DATA!O4,ASSUMPTIONS!$C$48)</f>
        <v/>
      </c>
      <c r="H5" s="55">
        <f>IF(G5="Qualifying Earnings",MAX(0,MIN(F5,ASSUMPTIONS!$C$39)-ASSUMPTIONS!$C$38),IF(G5="Full Salary",D5,F5))</f>
        <v/>
      </c>
      <c r="I5" s="67">
        <f>IF(EMPLOYEE_DATA!M4="Y",EMPLOYEE_DATA!K4,ASSUMPTIONS!$C$46)</f>
        <v/>
      </c>
      <c r="J5" s="67">
        <f>IF(EMPLOYEE_DATA!M4="Y",EMPLOYEE_DATA!L4,ASSUMPTIONS!$C$47)</f>
        <v/>
      </c>
      <c r="K5" s="54">
        <f>IF(AND(EMPLOYEE_DATA!N4="Y",ASSUMPTIONS!$C$62="On"),"Yes","No")</f>
        <v/>
      </c>
      <c r="L5" s="68">
        <f>F5</f>
        <v/>
      </c>
      <c r="M5" s="68">
        <f>MAX(0,IF(L5&lt;=ASSUMPTIONS!$C$18,ASSUMPTIONS!$C$15,ASSUMPTIONS!$C$15-INT((L5-ASSUMPTIONS!$C$18)/2)))</f>
        <v/>
      </c>
      <c r="N5" s="68">
        <f>MAX(0,L5-M5)</f>
        <v/>
      </c>
      <c r="O5" s="68">
        <f>MAX(0,MIN(N5,MAX(0,ASSUMPTIONS!$C$16-M5))*ASSUMPTIONS!$E$15+MAX(0,MIN(N5,ASSUMPTIONS!$C$17-M5)-MAX(0,ASSUMPTIONS!$C$16-M5))*ASSUMPTIONS!$E$16+MAX(0,N5-MAX(0,ASSUMPTIONS!$C$17-M5))*ASSUMPTIONS!$E$17)</f>
        <v/>
      </c>
      <c r="P5" s="68">
        <f>MAX(0,MIN(L5,TAX_NI_TABLES!$D$7)-TAX_NI_TABLES!$D$6)*ASSUMPTIONS!$E$25+MAX(0,L5-TAX_NI_TABLES!$D$7)*ASSUMPTIONS!$E$26</f>
        <v/>
      </c>
      <c r="Q5" s="68">
        <f>H5*I5</f>
        <v/>
      </c>
      <c r="R5" s="69">
        <f>L5-O5-P5-Q5</f>
        <v/>
      </c>
      <c r="S5" s="68">
        <f>H5*J5</f>
        <v/>
      </c>
      <c r="T5" s="68">
        <f>MAX(0,L5-TAX_NI_TABLES!$D$8)*ASSUMPTIONS!$E$32</f>
        <v/>
      </c>
      <c r="U5" s="69">
        <f>L5+S5+T5</f>
        <v/>
      </c>
      <c r="V5" s="70">
        <f>IF(K5="Yes",H5*I5,0)</f>
        <v/>
      </c>
      <c r="W5" s="71">
        <f>L5-V5</f>
        <v/>
      </c>
      <c r="X5" s="70">
        <f>MAX(0,IF(W5&lt;=ASSUMPTIONS!$C$18,ASSUMPTIONS!$C$15,ASSUMPTIONS!$C$15-INT((W5-ASSUMPTIONS!$C$18)/2)))</f>
        <v/>
      </c>
      <c r="Y5" s="70">
        <f>MAX(0,W5-X5)</f>
        <v/>
      </c>
      <c r="Z5" s="70">
        <f>MAX(0,MIN(Y5,MAX(0,ASSUMPTIONS!$C$16-X5))*ASSUMPTIONS!$E$15+MAX(0,MIN(Y5,ASSUMPTIONS!$C$17-X5)-MAX(0,ASSUMPTIONS!$C$16-X5))*ASSUMPTIONS!$E$16+MAX(0,Y5-MAX(0,ASSUMPTIONS!$C$17-X5))*ASSUMPTIONS!$E$17)</f>
        <v/>
      </c>
      <c r="AA5" s="70">
        <f>MAX(0,MIN(W5,TAX_NI_TABLES!$D$7)-TAX_NI_TABLES!$D$6)*ASSUMPTIONS!$E$25+MAX(0,W5-TAX_NI_TABLES!$D$7)*ASSUMPTIONS!$E$26</f>
        <v/>
      </c>
      <c r="AB5" s="70">
        <f>V5</f>
        <v/>
      </c>
      <c r="AC5" s="71">
        <f>W5-Z5-AA5+AG5</f>
        <v/>
      </c>
      <c r="AD5" s="70">
        <f>H5*J5+IF(ASSUMPTIONS!$C$53="Reinvest in Pension",AF5*ASSUMPTIONS!$C$55,0)</f>
        <v/>
      </c>
      <c r="AE5" s="70">
        <f>MAX(0,W5-TAX_NI_TABLES!$D$8)*ASSUMPTIONS!$E$32</f>
        <v/>
      </c>
      <c r="AF5" s="72">
        <f>MAX(0,T5-AE5)</f>
        <v/>
      </c>
      <c r="AG5" s="70">
        <f>IF(ASSUMPTIONS!$C$53="Share with Employees",AF5*ASSUMPTIONS!$C$55,0)</f>
        <v/>
      </c>
      <c r="AH5" s="70">
        <f>AF5-AG5</f>
        <v/>
      </c>
      <c r="AI5" s="71">
        <f>W5+AD5+AE5+AG5</f>
        <v/>
      </c>
      <c r="AJ5" s="73">
        <f>AC5-R5</f>
        <v/>
      </c>
      <c r="AK5" s="74">
        <f>IF(R5&lt;&gt;0,(AC5-R5)/R5,0)</f>
        <v/>
      </c>
      <c r="AL5" s="75">
        <f>AB5-Q5</f>
        <v/>
      </c>
      <c r="AM5" s="75">
        <f>AI5-U5</f>
        <v/>
      </c>
      <c r="AN5" s="73">
        <f>AH5</f>
        <v/>
      </c>
      <c r="AO5" s="73">
        <f>AB5+AD5</f>
        <v/>
      </c>
      <c r="AP5" s="75">
        <f>ASSUMPTIONS!$C$40-AO5</f>
        <v/>
      </c>
      <c r="AQ5" s="76">
        <f>IF(F5&lt;=ASSUMPTIONS!$C$15,"Personal Allowance",IF(F5&lt;=ASSUMPTIONS!$C$16,"Basic Rate",IF(F5&lt;=ASSUMPTIONS!$C$17,"Higher Rate","Additional Rate")))</f>
        <v/>
      </c>
      <c r="AR5" s="76">
        <f>IF(W5&lt;=ASSUMPTIONS!$C$15,"Personal Allowance",IF(W5&lt;=ASSUMPTIONS!$C$16,"Basic Rate",IF(W5&lt;=ASSUMPTIONS!$C$17,"Higher Rate","Additional Rate")))</f>
        <v/>
      </c>
      <c r="AS5" s="77">
        <f>IF(AP5&lt;0,"⚠ AA Breach!","")&amp;IF(V5&gt;F5,"⚠ Sacrifice&gt;Salary","")&amp;IF(AC5&lt;0,"⚠ Neg Take-Home","")</f>
        <v/>
      </c>
    </row>
    <row r="6" ht="18" customHeight="1">
      <c r="A6" s="51">
        <f>EMPLOYEE_DATA!A5</f>
        <v/>
      </c>
      <c r="B6" s="51">
        <f>EMPLOYEE_DATA!B5&amp;" "&amp;EMPLOYEE_DATA!C5</f>
        <v/>
      </c>
      <c r="C6" s="51">
        <f>EMPLOYEE_DATA!D5</f>
        <v/>
      </c>
      <c r="D6" s="52">
        <f>EMPLOYEE_DATA!H5</f>
        <v/>
      </c>
      <c r="E6" s="52">
        <f>EMPLOYEE_DATA!I5</f>
        <v/>
      </c>
      <c r="F6" s="53">
        <f>EMPLOYEE_DATA!J5</f>
        <v/>
      </c>
      <c r="G6" s="54">
        <f>IF(EMPLOYEE_DATA!O5&lt;&gt;"",EMPLOYEE_DATA!O5,ASSUMPTIONS!$C$48)</f>
        <v/>
      </c>
      <c r="H6" s="55">
        <f>IF(G6="Qualifying Earnings",MAX(0,MIN(F6,ASSUMPTIONS!$C$39)-ASSUMPTIONS!$C$38),IF(G6="Full Salary",D6,F6))</f>
        <v/>
      </c>
      <c r="I6" s="56">
        <f>IF(EMPLOYEE_DATA!M5="Y",EMPLOYEE_DATA!K5,ASSUMPTIONS!$C$46)</f>
        <v/>
      </c>
      <c r="J6" s="56">
        <f>IF(EMPLOYEE_DATA!M5="Y",EMPLOYEE_DATA!L5,ASSUMPTIONS!$C$47)</f>
        <v/>
      </c>
      <c r="K6" s="54">
        <f>IF(AND(EMPLOYEE_DATA!N5="Y",ASSUMPTIONS!$C$62="On"),"Yes","No")</f>
        <v/>
      </c>
      <c r="L6" s="57">
        <f>F6</f>
        <v/>
      </c>
      <c r="M6" s="57">
        <f>MAX(0,IF(L6&lt;=ASSUMPTIONS!$C$18,ASSUMPTIONS!$C$15,ASSUMPTIONS!$C$15-INT((L6-ASSUMPTIONS!$C$18)/2)))</f>
        <v/>
      </c>
      <c r="N6" s="57">
        <f>MAX(0,L6-M6)</f>
        <v/>
      </c>
      <c r="O6" s="57">
        <f>MAX(0,MIN(N6,MAX(0,ASSUMPTIONS!$C$16-M6))*ASSUMPTIONS!$E$15+MAX(0,MIN(N6,ASSUMPTIONS!$C$17-M6)-MAX(0,ASSUMPTIONS!$C$16-M6))*ASSUMPTIONS!$E$16+MAX(0,N6-MAX(0,ASSUMPTIONS!$C$17-M6))*ASSUMPTIONS!$E$17)</f>
        <v/>
      </c>
      <c r="P6" s="57">
        <f>MAX(0,MIN(L6,TAX_NI_TABLES!$D$7)-TAX_NI_TABLES!$D$6)*ASSUMPTIONS!$E$25+MAX(0,L6-TAX_NI_TABLES!$D$7)*ASSUMPTIONS!$E$26</f>
        <v/>
      </c>
      <c r="Q6" s="57">
        <f>H6*I6</f>
        <v/>
      </c>
      <c r="R6" s="58">
        <f>L6-O6-P6-Q6</f>
        <v/>
      </c>
      <c r="S6" s="57">
        <f>H6*J6</f>
        <v/>
      </c>
      <c r="T6" s="57">
        <f>MAX(0,L6-TAX_NI_TABLES!$D$8)*ASSUMPTIONS!$E$32</f>
        <v/>
      </c>
      <c r="U6" s="58">
        <f>L6+S6+T6</f>
        <v/>
      </c>
      <c r="V6" s="59">
        <f>IF(K6="Yes",H6*I6,0)</f>
        <v/>
      </c>
      <c r="W6" s="60">
        <f>L6-V6</f>
        <v/>
      </c>
      <c r="X6" s="59">
        <f>MAX(0,IF(W6&lt;=ASSUMPTIONS!$C$18,ASSUMPTIONS!$C$15,ASSUMPTIONS!$C$15-INT((W6-ASSUMPTIONS!$C$18)/2)))</f>
        <v/>
      </c>
      <c r="Y6" s="59">
        <f>MAX(0,W6-X6)</f>
        <v/>
      </c>
      <c r="Z6" s="59">
        <f>MAX(0,MIN(Y6,MAX(0,ASSUMPTIONS!$C$16-X6))*ASSUMPTIONS!$E$15+MAX(0,MIN(Y6,ASSUMPTIONS!$C$17-X6)-MAX(0,ASSUMPTIONS!$C$16-X6))*ASSUMPTIONS!$E$16+MAX(0,Y6-MAX(0,ASSUMPTIONS!$C$17-X6))*ASSUMPTIONS!$E$17)</f>
        <v/>
      </c>
      <c r="AA6" s="59">
        <f>MAX(0,MIN(W6,TAX_NI_TABLES!$D$7)-TAX_NI_TABLES!$D$6)*ASSUMPTIONS!$E$25+MAX(0,W6-TAX_NI_TABLES!$D$7)*ASSUMPTIONS!$E$26</f>
        <v/>
      </c>
      <c r="AB6" s="59">
        <f>V6</f>
        <v/>
      </c>
      <c r="AC6" s="60">
        <f>W6-Z6-AA6+AG6</f>
        <v/>
      </c>
      <c r="AD6" s="59">
        <f>H6*J6+IF(ASSUMPTIONS!$C$53="Reinvest in Pension",AF6*ASSUMPTIONS!$C$55,0)</f>
        <v/>
      </c>
      <c r="AE6" s="59">
        <f>MAX(0,W6-TAX_NI_TABLES!$D$8)*ASSUMPTIONS!$E$32</f>
        <v/>
      </c>
      <c r="AF6" s="61">
        <f>MAX(0,T6-AE6)</f>
        <v/>
      </c>
      <c r="AG6" s="59">
        <f>IF(ASSUMPTIONS!$C$53="Share with Employees",AF6*ASSUMPTIONS!$C$55,0)</f>
        <v/>
      </c>
      <c r="AH6" s="59">
        <f>AF6-AG6</f>
        <v/>
      </c>
      <c r="AI6" s="60">
        <f>W6+AD6+AE6+AG6</f>
        <v/>
      </c>
      <c r="AJ6" s="32">
        <f>AC6-R6</f>
        <v/>
      </c>
      <c r="AK6" s="62">
        <f>IF(R6&lt;&gt;0,(AC6-R6)/R6,0)</f>
        <v/>
      </c>
      <c r="AL6" s="55">
        <f>AB6-Q6</f>
        <v/>
      </c>
      <c r="AM6" s="55">
        <f>AI6-U6</f>
        <v/>
      </c>
      <c r="AN6" s="32">
        <f>AH6</f>
        <v/>
      </c>
      <c r="AO6" s="32">
        <f>AB6+AD6</f>
        <v/>
      </c>
      <c r="AP6" s="55">
        <f>ASSUMPTIONS!$C$40-AO6</f>
        <v/>
      </c>
      <c r="AQ6" s="54">
        <f>IF(F6&lt;=ASSUMPTIONS!$C$15,"Personal Allowance",IF(F6&lt;=ASSUMPTIONS!$C$16,"Basic Rate",IF(F6&lt;=ASSUMPTIONS!$C$17,"Higher Rate","Additional Rate")))</f>
        <v/>
      </c>
      <c r="AR6" s="54">
        <f>IF(W6&lt;=ASSUMPTIONS!$C$15,"Personal Allowance",IF(W6&lt;=ASSUMPTIONS!$C$16,"Basic Rate",IF(W6&lt;=ASSUMPTIONS!$C$17,"Higher Rate","Additional Rate")))</f>
        <v/>
      </c>
      <c r="AS6" s="63">
        <f>IF(AP6&lt;0,"⚠ AA Breach!","")&amp;IF(V6&gt;F6,"⚠ Sacrifice&gt;Salary","")&amp;IF(AC6&lt;0,"⚠ Neg Take-Home","")</f>
        <v/>
      </c>
    </row>
    <row r="7" ht="18" customHeight="1">
      <c r="A7" s="64">
        <f>EMPLOYEE_DATA!A6</f>
        <v/>
      </c>
      <c r="B7" s="64">
        <f>EMPLOYEE_DATA!B6&amp;" "&amp;EMPLOYEE_DATA!C6</f>
        <v/>
      </c>
      <c r="C7" s="64">
        <f>EMPLOYEE_DATA!D6</f>
        <v/>
      </c>
      <c r="D7" s="65">
        <f>EMPLOYEE_DATA!H6</f>
        <v/>
      </c>
      <c r="E7" s="65">
        <f>EMPLOYEE_DATA!I6</f>
        <v/>
      </c>
      <c r="F7" s="66">
        <f>EMPLOYEE_DATA!J6</f>
        <v/>
      </c>
      <c r="G7" s="54">
        <f>IF(EMPLOYEE_DATA!O6&lt;&gt;"",EMPLOYEE_DATA!O6,ASSUMPTIONS!$C$48)</f>
        <v/>
      </c>
      <c r="H7" s="55">
        <f>IF(G7="Qualifying Earnings",MAX(0,MIN(F7,ASSUMPTIONS!$C$39)-ASSUMPTIONS!$C$38),IF(G7="Full Salary",D7,F7))</f>
        <v/>
      </c>
      <c r="I7" s="67">
        <f>IF(EMPLOYEE_DATA!M6="Y",EMPLOYEE_DATA!K6,ASSUMPTIONS!$C$46)</f>
        <v/>
      </c>
      <c r="J7" s="67">
        <f>IF(EMPLOYEE_DATA!M6="Y",EMPLOYEE_DATA!L6,ASSUMPTIONS!$C$47)</f>
        <v/>
      </c>
      <c r="K7" s="54">
        <f>IF(AND(EMPLOYEE_DATA!N6="Y",ASSUMPTIONS!$C$62="On"),"Yes","No")</f>
        <v/>
      </c>
      <c r="L7" s="68">
        <f>F7</f>
        <v/>
      </c>
      <c r="M7" s="68">
        <f>MAX(0,IF(L7&lt;=ASSUMPTIONS!$C$18,ASSUMPTIONS!$C$15,ASSUMPTIONS!$C$15-INT((L7-ASSUMPTIONS!$C$18)/2)))</f>
        <v/>
      </c>
      <c r="N7" s="68">
        <f>MAX(0,L7-M7)</f>
        <v/>
      </c>
      <c r="O7" s="68">
        <f>MAX(0,MIN(N7,MAX(0,ASSUMPTIONS!$C$16-M7))*ASSUMPTIONS!$E$15+MAX(0,MIN(N7,ASSUMPTIONS!$C$17-M7)-MAX(0,ASSUMPTIONS!$C$16-M7))*ASSUMPTIONS!$E$16+MAX(0,N7-MAX(0,ASSUMPTIONS!$C$17-M7))*ASSUMPTIONS!$E$17)</f>
        <v/>
      </c>
      <c r="P7" s="68">
        <f>MAX(0,MIN(L7,TAX_NI_TABLES!$D$7)-TAX_NI_TABLES!$D$6)*ASSUMPTIONS!$E$25+MAX(0,L7-TAX_NI_TABLES!$D$7)*ASSUMPTIONS!$E$26</f>
        <v/>
      </c>
      <c r="Q7" s="68">
        <f>H7*I7</f>
        <v/>
      </c>
      <c r="R7" s="69">
        <f>L7-O7-P7-Q7</f>
        <v/>
      </c>
      <c r="S7" s="68">
        <f>H7*J7</f>
        <v/>
      </c>
      <c r="T7" s="68">
        <f>MAX(0,L7-TAX_NI_TABLES!$D$8)*ASSUMPTIONS!$E$32</f>
        <v/>
      </c>
      <c r="U7" s="69">
        <f>L7+S7+T7</f>
        <v/>
      </c>
      <c r="V7" s="70">
        <f>IF(K7="Yes",H7*I7,0)</f>
        <v/>
      </c>
      <c r="W7" s="71">
        <f>L7-V7</f>
        <v/>
      </c>
      <c r="X7" s="70">
        <f>MAX(0,IF(W7&lt;=ASSUMPTIONS!$C$18,ASSUMPTIONS!$C$15,ASSUMPTIONS!$C$15-INT((W7-ASSUMPTIONS!$C$18)/2)))</f>
        <v/>
      </c>
      <c r="Y7" s="70">
        <f>MAX(0,W7-X7)</f>
        <v/>
      </c>
      <c r="Z7" s="70">
        <f>MAX(0,MIN(Y7,MAX(0,ASSUMPTIONS!$C$16-X7))*ASSUMPTIONS!$E$15+MAX(0,MIN(Y7,ASSUMPTIONS!$C$17-X7)-MAX(0,ASSUMPTIONS!$C$16-X7))*ASSUMPTIONS!$E$16+MAX(0,Y7-MAX(0,ASSUMPTIONS!$C$17-X7))*ASSUMPTIONS!$E$17)</f>
        <v/>
      </c>
      <c r="AA7" s="70">
        <f>MAX(0,MIN(W7,TAX_NI_TABLES!$D$7)-TAX_NI_TABLES!$D$6)*ASSUMPTIONS!$E$25+MAX(0,W7-TAX_NI_TABLES!$D$7)*ASSUMPTIONS!$E$26</f>
        <v/>
      </c>
      <c r="AB7" s="70">
        <f>V7</f>
        <v/>
      </c>
      <c r="AC7" s="71">
        <f>W7-Z7-AA7+AG7</f>
        <v/>
      </c>
      <c r="AD7" s="70">
        <f>H7*J7+IF(ASSUMPTIONS!$C$53="Reinvest in Pension",AF7*ASSUMPTIONS!$C$55,0)</f>
        <v/>
      </c>
      <c r="AE7" s="70">
        <f>MAX(0,W7-TAX_NI_TABLES!$D$8)*ASSUMPTIONS!$E$32</f>
        <v/>
      </c>
      <c r="AF7" s="72">
        <f>MAX(0,T7-AE7)</f>
        <v/>
      </c>
      <c r="AG7" s="70">
        <f>IF(ASSUMPTIONS!$C$53="Share with Employees",AF7*ASSUMPTIONS!$C$55,0)</f>
        <v/>
      </c>
      <c r="AH7" s="70">
        <f>AF7-AG7</f>
        <v/>
      </c>
      <c r="AI7" s="71">
        <f>W7+AD7+AE7+AG7</f>
        <v/>
      </c>
      <c r="AJ7" s="73">
        <f>AC7-R7</f>
        <v/>
      </c>
      <c r="AK7" s="74">
        <f>IF(R7&lt;&gt;0,(AC7-R7)/R7,0)</f>
        <v/>
      </c>
      <c r="AL7" s="75">
        <f>AB7-Q7</f>
        <v/>
      </c>
      <c r="AM7" s="75">
        <f>AI7-U7</f>
        <v/>
      </c>
      <c r="AN7" s="73">
        <f>AH7</f>
        <v/>
      </c>
      <c r="AO7" s="73">
        <f>AB7+AD7</f>
        <v/>
      </c>
      <c r="AP7" s="75">
        <f>ASSUMPTIONS!$C$40-AO7</f>
        <v/>
      </c>
      <c r="AQ7" s="76">
        <f>IF(F7&lt;=ASSUMPTIONS!$C$15,"Personal Allowance",IF(F7&lt;=ASSUMPTIONS!$C$16,"Basic Rate",IF(F7&lt;=ASSUMPTIONS!$C$17,"Higher Rate","Additional Rate")))</f>
        <v/>
      </c>
      <c r="AR7" s="76">
        <f>IF(W7&lt;=ASSUMPTIONS!$C$15,"Personal Allowance",IF(W7&lt;=ASSUMPTIONS!$C$16,"Basic Rate",IF(W7&lt;=ASSUMPTIONS!$C$17,"Higher Rate","Additional Rate")))</f>
        <v/>
      </c>
      <c r="AS7" s="77">
        <f>IF(AP7&lt;0,"⚠ AA Breach!","")&amp;IF(V7&gt;F7,"⚠ Sacrifice&gt;Salary","")&amp;IF(AC7&lt;0,"⚠ Neg Take-Home","")</f>
        <v/>
      </c>
    </row>
    <row r="8" ht="18" customHeight="1">
      <c r="A8" s="51">
        <f>EMPLOYEE_DATA!A7</f>
        <v/>
      </c>
      <c r="B8" s="51">
        <f>EMPLOYEE_DATA!B7&amp;" "&amp;EMPLOYEE_DATA!C7</f>
        <v/>
      </c>
      <c r="C8" s="51">
        <f>EMPLOYEE_DATA!D7</f>
        <v/>
      </c>
      <c r="D8" s="52">
        <f>EMPLOYEE_DATA!H7</f>
        <v/>
      </c>
      <c r="E8" s="52">
        <f>EMPLOYEE_DATA!I7</f>
        <v/>
      </c>
      <c r="F8" s="53">
        <f>EMPLOYEE_DATA!J7</f>
        <v/>
      </c>
      <c r="G8" s="54">
        <f>IF(EMPLOYEE_DATA!O7&lt;&gt;"",EMPLOYEE_DATA!O7,ASSUMPTIONS!$C$48)</f>
        <v/>
      </c>
      <c r="H8" s="55">
        <f>IF(G8="Qualifying Earnings",MAX(0,MIN(F8,ASSUMPTIONS!$C$39)-ASSUMPTIONS!$C$38),IF(G8="Full Salary",D8,F8))</f>
        <v/>
      </c>
      <c r="I8" s="56">
        <f>IF(EMPLOYEE_DATA!M7="Y",EMPLOYEE_DATA!K7,ASSUMPTIONS!$C$46)</f>
        <v/>
      </c>
      <c r="J8" s="56">
        <f>IF(EMPLOYEE_DATA!M7="Y",EMPLOYEE_DATA!L7,ASSUMPTIONS!$C$47)</f>
        <v/>
      </c>
      <c r="K8" s="54">
        <f>IF(AND(EMPLOYEE_DATA!N7="Y",ASSUMPTIONS!$C$62="On"),"Yes","No")</f>
        <v/>
      </c>
      <c r="L8" s="57">
        <f>F8</f>
        <v/>
      </c>
      <c r="M8" s="57">
        <f>MAX(0,IF(L8&lt;=ASSUMPTIONS!$C$18,ASSUMPTIONS!$C$15,ASSUMPTIONS!$C$15-INT((L8-ASSUMPTIONS!$C$18)/2)))</f>
        <v/>
      </c>
      <c r="N8" s="57">
        <f>MAX(0,L8-M8)</f>
        <v/>
      </c>
      <c r="O8" s="57">
        <f>MAX(0,MIN(N8,MAX(0,ASSUMPTIONS!$C$16-M8))*ASSUMPTIONS!$E$15+MAX(0,MIN(N8,ASSUMPTIONS!$C$17-M8)-MAX(0,ASSUMPTIONS!$C$16-M8))*ASSUMPTIONS!$E$16+MAX(0,N8-MAX(0,ASSUMPTIONS!$C$17-M8))*ASSUMPTIONS!$E$17)</f>
        <v/>
      </c>
      <c r="P8" s="57">
        <f>MAX(0,MIN(L8,TAX_NI_TABLES!$D$7)-TAX_NI_TABLES!$D$6)*ASSUMPTIONS!$E$25+MAX(0,L8-TAX_NI_TABLES!$D$7)*ASSUMPTIONS!$E$26</f>
        <v/>
      </c>
      <c r="Q8" s="57">
        <f>H8*I8</f>
        <v/>
      </c>
      <c r="R8" s="58">
        <f>L8-O8-P8-Q8</f>
        <v/>
      </c>
      <c r="S8" s="57">
        <f>H8*J8</f>
        <v/>
      </c>
      <c r="T8" s="57">
        <f>MAX(0,L8-TAX_NI_TABLES!$D$8)*ASSUMPTIONS!$E$32</f>
        <v/>
      </c>
      <c r="U8" s="58">
        <f>L8+S8+T8</f>
        <v/>
      </c>
      <c r="V8" s="59">
        <f>IF(K8="Yes",H8*I8,0)</f>
        <v/>
      </c>
      <c r="W8" s="60">
        <f>L8-V8</f>
        <v/>
      </c>
      <c r="X8" s="59">
        <f>MAX(0,IF(W8&lt;=ASSUMPTIONS!$C$18,ASSUMPTIONS!$C$15,ASSUMPTIONS!$C$15-INT((W8-ASSUMPTIONS!$C$18)/2)))</f>
        <v/>
      </c>
      <c r="Y8" s="59">
        <f>MAX(0,W8-X8)</f>
        <v/>
      </c>
      <c r="Z8" s="59">
        <f>MAX(0,MIN(Y8,MAX(0,ASSUMPTIONS!$C$16-X8))*ASSUMPTIONS!$E$15+MAX(0,MIN(Y8,ASSUMPTIONS!$C$17-X8)-MAX(0,ASSUMPTIONS!$C$16-X8))*ASSUMPTIONS!$E$16+MAX(0,Y8-MAX(0,ASSUMPTIONS!$C$17-X8))*ASSUMPTIONS!$E$17)</f>
        <v/>
      </c>
      <c r="AA8" s="59">
        <f>MAX(0,MIN(W8,TAX_NI_TABLES!$D$7)-TAX_NI_TABLES!$D$6)*ASSUMPTIONS!$E$25+MAX(0,W8-TAX_NI_TABLES!$D$7)*ASSUMPTIONS!$E$26</f>
        <v/>
      </c>
      <c r="AB8" s="59">
        <f>V8</f>
        <v/>
      </c>
      <c r="AC8" s="60">
        <f>W8-Z8-AA8+AG8</f>
        <v/>
      </c>
      <c r="AD8" s="59">
        <f>H8*J8+IF(ASSUMPTIONS!$C$53="Reinvest in Pension",AF8*ASSUMPTIONS!$C$55,0)</f>
        <v/>
      </c>
      <c r="AE8" s="59">
        <f>MAX(0,W8-TAX_NI_TABLES!$D$8)*ASSUMPTIONS!$E$32</f>
        <v/>
      </c>
      <c r="AF8" s="61">
        <f>MAX(0,T8-AE8)</f>
        <v/>
      </c>
      <c r="AG8" s="59">
        <f>IF(ASSUMPTIONS!$C$53="Share with Employees",AF8*ASSUMPTIONS!$C$55,0)</f>
        <v/>
      </c>
      <c r="AH8" s="59">
        <f>AF8-AG8</f>
        <v/>
      </c>
      <c r="AI8" s="60">
        <f>W8+AD8+AE8+AG8</f>
        <v/>
      </c>
      <c r="AJ8" s="32">
        <f>AC8-R8</f>
        <v/>
      </c>
      <c r="AK8" s="62">
        <f>IF(R8&lt;&gt;0,(AC8-R8)/R8,0)</f>
        <v/>
      </c>
      <c r="AL8" s="55">
        <f>AB8-Q8</f>
        <v/>
      </c>
      <c r="AM8" s="55">
        <f>AI8-U8</f>
        <v/>
      </c>
      <c r="AN8" s="32">
        <f>AH8</f>
        <v/>
      </c>
      <c r="AO8" s="32">
        <f>AB8+AD8</f>
        <v/>
      </c>
      <c r="AP8" s="55">
        <f>ASSUMPTIONS!$C$40-AO8</f>
        <v/>
      </c>
      <c r="AQ8" s="54">
        <f>IF(F8&lt;=ASSUMPTIONS!$C$15,"Personal Allowance",IF(F8&lt;=ASSUMPTIONS!$C$16,"Basic Rate",IF(F8&lt;=ASSUMPTIONS!$C$17,"Higher Rate","Additional Rate")))</f>
        <v/>
      </c>
      <c r="AR8" s="54">
        <f>IF(W8&lt;=ASSUMPTIONS!$C$15,"Personal Allowance",IF(W8&lt;=ASSUMPTIONS!$C$16,"Basic Rate",IF(W8&lt;=ASSUMPTIONS!$C$17,"Higher Rate","Additional Rate")))</f>
        <v/>
      </c>
      <c r="AS8" s="63">
        <f>IF(AP8&lt;0,"⚠ AA Breach!","")&amp;IF(V8&gt;F8,"⚠ Sacrifice&gt;Salary","")&amp;IF(AC8&lt;0,"⚠ Neg Take-Home","")</f>
        <v/>
      </c>
    </row>
    <row r="9" ht="18" customHeight="1">
      <c r="A9" s="64">
        <f>EMPLOYEE_DATA!A8</f>
        <v/>
      </c>
      <c r="B9" s="64">
        <f>EMPLOYEE_DATA!B8&amp;" "&amp;EMPLOYEE_DATA!C8</f>
        <v/>
      </c>
      <c r="C9" s="64">
        <f>EMPLOYEE_DATA!D8</f>
        <v/>
      </c>
      <c r="D9" s="65">
        <f>EMPLOYEE_DATA!H8</f>
        <v/>
      </c>
      <c r="E9" s="65">
        <f>EMPLOYEE_DATA!I8</f>
        <v/>
      </c>
      <c r="F9" s="66">
        <f>EMPLOYEE_DATA!J8</f>
        <v/>
      </c>
      <c r="G9" s="54">
        <f>IF(EMPLOYEE_DATA!O8&lt;&gt;"",EMPLOYEE_DATA!O8,ASSUMPTIONS!$C$48)</f>
        <v/>
      </c>
      <c r="H9" s="55">
        <f>IF(G9="Qualifying Earnings",MAX(0,MIN(F9,ASSUMPTIONS!$C$39)-ASSUMPTIONS!$C$38),IF(G9="Full Salary",D9,F9))</f>
        <v/>
      </c>
      <c r="I9" s="67">
        <f>IF(EMPLOYEE_DATA!M8="Y",EMPLOYEE_DATA!K8,ASSUMPTIONS!$C$46)</f>
        <v/>
      </c>
      <c r="J9" s="67">
        <f>IF(EMPLOYEE_DATA!M8="Y",EMPLOYEE_DATA!L8,ASSUMPTIONS!$C$47)</f>
        <v/>
      </c>
      <c r="K9" s="54">
        <f>IF(AND(EMPLOYEE_DATA!N8="Y",ASSUMPTIONS!$C$62="On"),"Yes","No")</f>
        <v/>
      </c>
      <c r="L9" s="68">
        <f>F9</f>
        <v/>
      </c>
      <c r="M9" s="68">
        <f>MAX(0,IF(L9&lt;=ASSUMPTIONS!$C$18,ASSUMPTIONS!$C$15,ASSUMPTIONS!$C$15-INT((L9-ASSUMPTIONS!$C$18)/2)))</f>
        <v/>
      </c>
      <c r="N9" s="68">
        <f>MAX(0,L9-M9)</f>
        <v/>
      </c>
      <c r="O9" s="68">
        <f>MAX(0,MIN(N9,MAX(0,ASSUMPTIONS!$C$16-M9))*ASSUMPTIONS!$E$15+MAX(0,MIN(N9,ASSUMPTIONS!$C$17-M9)-MAX(0,ASSUMPTIONS!$C$16-M9))*ASSUMPTIONS!$E$16+MAX(0,N9-MAX(0,ASSUMPTIONS!$C$17-M9))*ASSUMPTIONS!$E$17)</f>
        <v/>
      </c>
      <c r="P9" s="68">
        <f>MAX(0,MIN(L9,TAX_NI_TABLES!$D$7)-TAX_NI_TABLES!$D$6)*ASSUMPTIONS!$E$25+MAX(0,L9-TAX_NI_TABLES!$D$7)*ASSUMPTIONS!$E$26</f>
        <v/>
      </c>
      <c r="Q9" s="68">
        <f>H9*I9</f>
        <v/>
      </c>
      <c r="R9" s="69">
        <f>L9-O9-P9-Q9</f>
        <v/>
      </c>
      <c r="S9" s="68">
        <f>H9*J9</f>
        <v/>
      </c>
      <c r="T9" s="68">
        <f>MAX(0,L9-TAX_NI_TABLES!$D$8)*ASSUMPTIONS!$E$32</f>
        <v/>
      </c>
      <c r="U9" s="69">
        <f>L9+S9+T9</f>
        <v/>
      </c>
      <c r="V9" s="70">
        <f>IF(K9="Yes",H9*I9,0)</f>
        <v/>
      </c>
      <c r="W9" s="71">
        <f>L9-V9</f>
        <v/>
      </c>
      <c r="X9" s="70">
        <f>MAX(0,IF(W9&lt;=ASSUMPTIONS!$C$18,ASSUMPTIONS!$C$15,ASSUMPTIONS!$C$15-INT((W9-ASSUMPTIONS!$C$18)/2)))</f>
        <v/>
      </c>
      <c r="Y9" s="70">
        <f>MAX(0,W9-X9)</f>
        <v/>
      </c>
      <c r="Z9" s="70">
        <f>MAX(0,MIN(Y9,MAX(0,ASSUMPTIONS!$C$16-X9))*ASSUMPTIONS!$E$15+MAX(0,MIN(Y9,ASSUMPTIONS!$C$17-X9)-MAX(0,ASSUMPTIONS!$C$16-X9))*ASSUMPTIONS!$E$16+MAX(0,Y9-MAX(0,ASSUMPTIONS!$C$17-X9))*ASSUMPTIONS!$E$17)</f>
        <v/>
      </c>
      <c r="AA9" s="70">
        <f>MAX(0,MIN(W9,TAX_NI_TABLES!$D$7)-TAX_NI_TABLES!$D$6)*ASSUMPTIONS!$E$25+MAX(0,W9-TAX_NI_TABLES!$D$7)*ASSUMPTIONS!$E$26</f>
        <v/>
      </c>
      <c r="AB9" s="70">
        <f>V9</f>
        <v/>
      </c>
      <c r="AC9" s="71">
        <f>W9-Z9-AA9+AG9</f>
        <v/>
      </c>
      <c r="AD9" s="70">
        <f>H9*J9+IF(ASSUMPTIONS!$C$53="Reinvest in Pension",AF9*ASSUMPTIONS!$C$55,0)</f>
        <v/>
      </c>
      <c r="AE9" s="70">
        <f>MAX(0,W9-TAX_NI_TABLES!$D$8)*ASSUMPTIONS!$E$32</f>
        <v/>
      </c>
      <c r="AF9" s="72">
        <f>MAX(0,T9-AE9)</f>
        <v/>
      </c>
      <c r="AG9" s="70">
        <f>IF(ASSUMPTIONS!$C$53="Share with Employees",AF9*ASSUMPTIONS!$C$55,0)</f>
        <v/>
      </c>
      <c r="AH9" s="70">
        <f>AF9-AG9</f>
        <v/>
      </c>
      <c r="AI9" s="71">
        <f>W9+AD9+AE9+AG9</f>
        <v/>
      </c>
      <c r="AJ9" s="73">
        <f>AC9-R9</f>
        <v/>
      </c>
      <c r="AK9" s="74">
        <f>IF(R9&lt;&gt;0,(AC9-R9)/R9,0)</f>
        <v/>
      </c>
      <c r="AL9" s="75">
        <f>AB9-Q9</f>
        <v/>
      </c>
      <c r="AM9" s="75">
        <f>AI9-U9</f>
        <v/>
      </c>
      <c r="AN9" s="73">
        <f>AH9</f>
        <v/>
      </c>
      <c r="AO9" s="73">
        <f>AB9+AD9</f>
        <v/>
      </c>
      <c r="AP9" s="75">
        <f>ASSUMPTIONS!$C$40-AO9</f>
        <v/>
      </c>
      <c r="AQ9" s="76">
        <f>IF(F9&lt;=ASSUMPTIONS!$C$15,"Personal Allowance",IF(F9&lt;=ASSUMPTIONS!$C$16,"Basic Rate",IF(F9&lt;=ASSUMPTIONS!$C$17,"Higher Rate","Additional Rate")))</f>
        <v/>
      </c>
      <c r="AR9" s="76">
        <f>IF(W9&lt;=ASSUMPTIONS!$C$15,"Personal Allowance",IF(W9&lt;=ASSUMPTIONS!$C$16,"Basic Rate",IF(W9&lt;=ASSUMPTIONS!$C$17,"Higher Rate","Additional Rate")))</f>
        <v/>
      </c>
      <c r="AS9" s="77">
        <f>IF(AP9&lt;0,"⚠ AA Breach!","")&amp;IF(V9&gt;F9,"⚠ Sacrifice&gt;Salary","")&amp;IF(AC9&lt;0,"⚠ Neg Take-Home","")</f>
        <v/>
      </c>
    </row>
    <row r="10" ht="18" customHeight="1">
      <c r="A10" s="51">
        <f>EMPLOYEE_DATA!A9</f>
        <v/>
      </c>
      <c r="B10" s="51">
        <f>EMPLOYEE_DATA!B9&amp;" "&amp;EMPLOYEE_DATA!C9</f>
        <v/>
      </c>
      <c r="C10" s="51">
        <f>EMPLOYEE_DATA!D9</f>
        <v/>
      </c>
      <c r="D10" s="52">
        <f>EMPLOYEE_DATA!H9</f>
        <v/>
      </c>
      <c r="E10" s="52">
        <f>EMPLOYEE_DATA!I9</f>
        <v/>
      </c>
      <c r="F10" s="53">
        <f>EMPLOYEE_DATA!J9</f>
        <v/>
      </c>
      <c r="G10" s="54">
        <f>IF(EMPLOYEE_DATA!O9&lt;&gt;"",EMPLOYEE_DATA!O9,ASSUMPTIONS!$C$48)</f>
        <v/>
      </c>
      <c r="H10" s="55">
        <f>IF(G10="Qualifying Earnings",MAX(0,MIN(F10,ASSUMPTIONS!$C$39)-ASSUMPTIONS!$C$38),IF(G10="Full Salary",D10,F10))</f>
        <v/>
      </c>
      <c r="I10" s="56">
        <f>IF(EMPLOYEE_DATA!M9="Y",EMPLOYEE_DATA!K9,ASSUMPTIONS!$C$46)</f>
        <v/>
      </c>
      <c r="J10" s="56">
        <f>IF(EMPLOYEE_DATA!M9="Y",EMPLOYEE_DATA!L9,ASSUMPTIONS!$C$47)</f>
        <v/>
      </c>
      <c r="K10" s="54">
        <f>IF(AND(EMPLOYEE_DATA!N9="Y",ASSUMPTIONS!$C$62="On"),"Yes","No")</f>
        <v/>
      </c>
      <c r="L10" s="57">
        <f>F10</f>
        <v/>
      </c>
      <c r="M10" s="57">
        <f>MAX(0,IF(L10&lt;=ASSUMPTIONS!$C$18,ASSUMPTIONS!$C$15,ASSUMPTIONS!$C$15-INT((L10-ASSUMPTIONS!$C$18)/2)))</f>
        <v/>
      </c>
      <c r="N10" s="57">
        <f>MAX(0,L10-M10)</f>
        <v/>
      </c>
      <c r="O10" s="57">
        <f>MAX(0,MIN(N10,MAX(0,ASSUMPTIONS!$C$16-M10))*ASSUMPTIONS!$E$15+MAX(0,MIN(N10,ASSUMPTIONS!$C$17-M10)-MAX(0,ASSUMPTIONS!$C$16-M10))*ASSUMPTIONS!$E$16+MAX(0,N10-MAX(0,ASSUMPTIONS!$C$17-M10))*ASSUMPTIONS!$E$17)</f>
        <v/>
      </c>
      <c r="P10" s="57">
        <f>MAX(0,MIN(L10,TAX_NI_TABLES!$D$7)-TAX_NI_TABLES!$D$6)*ASSUMPTIONS!$E$25+MAX(0,L10-TAX_NI_TABLES!$D$7)*ASSUMPTIONS!$E$26</f>
        <v/>
      </c>
      <c r="Q10" s="57">
        <f>H10*I10</f>
        <v/>
      </c>
      <c r="R10" s="58">
        <f>L10-O10-P10-Q10</f>
        <v/>
      </c>
      <c r="S10" s="57">
        <f>H10*J10</f>
        <v/>
      </c>
      <c r="T10" s="57">
        <f>MAX(0,L10-TAX_NI_TABLES!$D$8)*ASSUMPTIONS!$E$32</f>
        <v/>
      </c>
      <c r="U10" s="58">
        <f>L10+S10+T10</f>
        <v/>
      </c>
      <c r="V10" s="59">
        <f>IF(K10="Yes",H10*I10,0)</f>
        <v/>
      </c>
      <c r="W10" s="60">
        <f>L10-V10</f>
        <v/>
      </c>
      <c r="X10" s="59">
        <f>MAX(0,IF(W10&lt;=ASSUMPTIONS!$C$18,ASSUMPTIONS!$C$15,ASSUMPTIONS!$C$15-INT((W10-ASSUMPTIONS!$C$18)/2)))</f>
        <v/>
      </c>
      <c r="Y10" s="59">
        <f>MAX(0,W10-X10)</f>
        <v/>
      </c>
      <c r="Z10" s="59">
        <f>MAX(0,MIN(Y10,MAX(0,ASSUMPTIONS!$C$16-X10))*ASSUMPTIONS!$E$15+MAX(0,MIN(Y10,ASSUMPTIONS!$C$17-X10)-MAX(0,ASSUMPTIONS!$C$16-X10))*ASSUMPTIONS!$E$16+MAX(0,Y10-MAX(0,ASSUMPTIONS!$C$17-X10))*ASSUMPTIONS!$E$17)</f>
        <v/>
      </c>
      <c r="AA10" s="59">
        <f>MAX(0,MIN(W10,TAX_NI_TABLES!$D$7)-TAX_NI_TABLES!$D$6)*ASSUMPTIONS!$E$25+MAX(0,W10-TAX_NI_TABLES!$D$7)*ASSUMPTIONS!$E$26</f>
        <v/>
      </c>
      <c r="AB10" s="59">
        <f>V10</f>
        <v/>
      </c>
      <c r="AC10" s="60">
        <f>W10-Z10-AA10+AG10</f>
        <v/>
      </c>
      <c r="AD10" s="59">
        <f>H10*J10+IF(ASSUMPTIONS!$C$53="Reinvest in Pension",AF10*ASSUMPTIONS!$C$55,0)</f>
        <v/>
      </c>
      <c r="AE10" s="59">
        <f>MAX(0,W10-TAX_NI_TABLES!$D$8)*ASSUMPTIONS!$E$32</f>
        <v/>
      </c>
      <c r="AF10" s="61">
        <f>MAX(0,T10-AE10)</f>
        <v/>
      </c>
      <c r="AG10" s="59">
        <f>IF(ASSUMPTIONS!$C$53="Share with Employees",AF10*ASSUMPTIONS!$C$55,0)</f>
        <v/>
      </c>
      <c r="AH10" s="59">
        <f>AF10-AG10</f>
        <v/>
      </c>
      <c r="AI10" s="60">
        <f>W10+AD10+AE10+AG10</f>
        <v/>
      </c>
      <c r="AJ10" s="32">
        <f>AC10-R10</f>
        <v/>
      </c>
      <c r="AK10" s="62">
        <f>IF(R10&lt;&gt;0,(AC10-R10)/R10,0)</f>
        <v/>
      </c>
      <c r="AL10" s="55">
        <f>AB10-Q10</f>
        <v/>
      </c>
      <c r="AM10" s="55">
        <f>AI10-U10</f>
        <v/>
      </c>
      <c r="AN10" s="32">
        <f>AH10</f>
        <v/>
      </c>
      <c r="AO10" s="32">
        <f>AB10+AD10</f>
        <v/>
      </c>
      <c r="AP10" s="55">
        <f>ASSUMPTIONS!$C$40-AO10</f>
        <v/>
      </c>
      <c r="AQ10" s="54">
        <f>IF(F10&lt;=ASSUMPTIONS!$C$15,"Personal Allowance",IF(F10&lt;=ASSUMPTIONS!$C$16,"Basic Rate",IF(F10&lt;=ASSUMPTIONS!$C$17,"Higher Rate","Additional Rate")))</f>
        <v/>
      </c>
      <c r="AR10" s="54">
        <f>IF(W10&lt;=ASSUMPTIONS!$C$15,"Personal Allowance",IF(W10&lt;=ASSUMPTIONS!$C$16,"Basic Rate",IF(W10&lt;=ASSUMPTIONS!$C$17,"Higher Rate","Additional Rate")))</f>
        <v/>
      </c>
      <c r="AS10" s="63">
        <f>IF(AP10&lt;0,"⚠ AA Breach!","")&amp;IF(V10&gt;F10,"⚠ Sacrifice&gt;Salary","")&amp;IF(AC10&lt;0,"⚠ Neg Take-Home","")</f>
        <v/>
      </c>
    </row>
    <row r="11" ht="18" customHeight="1">
      <c r="A11" s="64">
        <f>EMPLOYEE_DATA!A10</f>
        <v/>
      </c>
      <c r="B11" s="64">
        <f>EMPLOYEE_DATA!B10&amp;" "&amp;EMPLOYEE_DATA!C10</f>
        <v/>
      </c>
      <c r="C11" s="64">
        <f>EMPLOYEE_DATA!D10</f>
        <v/>
      </c>
      <c r="D11" s="65">
        <f>EMPLOYEE_DATA!H10</f>
        <v/>
      </c>
      <c r="E11" s="65">
        <f>EMPLOYEE_DATA!I10</f>
        <v/>
      </c>
      <c r="F11" s="66">
        <f>EMPLOYEE_DATA!J10</f>
        <v/>
      </c>
      <c r="G11" s="54">
        <f>IF(EMPLOYEE_DATA!O10&lt;&gt;"",EMPLOYEE_DATA!O10,ASSUMPTIONS!$C$48)</f>
        <v/>
      </c>
      <c r="H11" s="55">
        <f>IF(G11="Qualifying Earnings",MAX(0,MIN(F11,ASSUMPTIONS!$C$39)-ASSUMPTIONS!$C$38),IF(G11="Full Salary",D11,F11))</f>
        <v/>
      </c>
      <c r="I11" s="67">
        <f>IF(EMPLOYEE_DATA!M10="Y",EMPLOYEE_DATA!K10,ASSUMPTIONS!$C$46)</f>
        <v/>
      </c>
      <c r="J11" s="67">
        <f>IF(EMPLOYEE_DATA!M10="Y",EMPLOYEE_DATA!L10,ASSUMPTIONS!$C$47)</f>
        <v/>
      </c>
      <c r="K11" s="54">
        <f>IF(AND(EMPLOYEE_DATA!N10="Y",ASSUMPTIONS!$C$62="On"),"Yes","No")</f>
        <v/>
      </c>
      <c r="L11" s="68">
        <f>F11</f>
        <v/>
      </c>
      <c r="M11" s="68">
        <f>MAX(0,IF(L11&lt;=ASSUMPTIONS!$C$18,ASSUMPTIONS!$C$15,ASSUMPTIONS!$C$15-INT((L11-ASSUMPTIONS!$C$18)/2)))</f>
        <v/>
      </c>
      <c r="N11" s="68">
        <f>MAX(0,L11-M11)</f>
        <v/>
      </c>
      <c r="O11" s="68">
        <f>MAX(0,MIN(N11,MAX(0,ASSUMPTIONS!$C$16-M11))*ASSUMPTIONS!$E$15+MAX(0,MIN(N11,ASSUMPTIONS!$C$17-M11)-MAX(0,ASSUMPTIONS!$C$16-M11))*ASSUMPTIONS!$E$16+MAX(0,N11-MAX(0,ASSUMPTIONS!$C$17-M11))*ASSUMPTIONS!$E$17)</f>
        <v/>
      </c>
      <c r="P11" s="68">
        <f>MAX(0,MIN(L11,TAX_NI_TABLES!$D$7)-TAX_NI_TABLES!$D$6)*ASSUMPTIONS!$E$25+MAX(0,L11-TAX_NI_TABLES!$D$7)*ASSUMPTIONS!$E$26</f>
        <v/>
      </c>
      <c r="Q11" s="68">
        <f>H11*I11</f>
        <v/>
      </c>
      <c r="R11" s="69">
        <f>L11-O11-P11-Q11</f>
        <v/>
      </c>
      <c r="S11" s="68">
        <f>H11*J11</f>
        <v/>
      </c>
      <c r="T11" s="68">
        <f>MAX(0,L11-TAX_NI_TABLES!$D$8)*ASSUMPTIONS!$E$32</f>
        <v/>
      </c>
      <c r="U11" s="69">
        <f>L11+S11+T11</f>
        <v/>
      </c>
      <c r="V11" s="70">
        <f>IF(K11="Yes",H11*I11,0)</f>
        <v/>
      </c>
      <c r="W11" s="71">
        <f>L11-V11</f>
        <v/>
      </c>
      <c r="X11" s="70">
        <f>MAX(0,IF(W11&lt;=ASSUMPTIONS!$C$18,ASSUMPTIONS!$C$15,ASSUMPTIONS!$C$15-INT((W11-ASSUMPTIONS!$C$18)/2)))</f>
        <v/>
      </c>
      <c r="Y11" s="70">
        <f>MAX(0,W11-X11)</f>
        <v/>
      </c>
      <c r="Z11" s="70">
        <f>MAX(0,MIN(Y11,MAX(0,ASSUMPTIONS!$C$16-X11))*ASSUMPTIONS!$E$15+MAX(0,MIN(Y11,ASSUMPTIONS!$C$17-X11)-MAX(0,ASSUMPTIONS!$C$16-X11))*ASSUMPTIONS!$E$16+MAX(0,Y11-MAX(0,ASSUMPTIONS!$C$17-X11))*ASSUMPTIONS!$E$17)</f>
        <v/>
      </c>
      <c r="AA11" s="70">
        <f>MAX(0,MIN(W11,TAX_NI_TABLES!$D$7)-TAX_NI_TABLES!$D$6)*ASSUMPTIONS!$E$25+MAX(0,W11-TAX_NI_TABLES!$D$7)*ASSUMPTIONS!$E$26</f>
        <v/>
      </c>
      <c r="AB11" s="70">
        <f>V11</f>
        <v/>
      </c>
      <c r="AC11" s="71">
        <f>W11-Z11-AA11+AG11</f>
        <v/>
      </c>
      <c r="AD11" s="70">
        <f>H11*J11+IF(ASSUMPTIONS!$C$53="Reinvest in Pension",AF11*ASSUMPTIONS!$C$55,0)</f>
        <v/>
      </c>
      <c r="AE11" s="70">
        <f>MAX(0,W11-TAX_NI_TABLES!$D$8)*ASSUMPTIONS!$E$32</f>
        <v/>
      </c>
      <c r="AF11" s="72">
        <f>MAX(0,T11-AE11)</f>
        <v/>
      </c>
      <c r="AG11" s="70">
        <f>IF(ASSUMPTIONS!$C$53="Share with Employees",AF11*ASSUMPTIONS!$C$55,0)</f>
        <v/>
      </c>
      <c r="AH11" s="70">
        <f>AF11-AG11</f>
        <v/>
      </c>
      <c r="AI11" s="71">
        <f>W11+AD11+AE11+AG11</f>
        <v/>
      </c>
      <c r="AJ11" s="73">
        <f>AC11-R11</f>
        <v/>
      </c>
      <c r="AK11" s="74">
        <f>IF(R11&lt;&gt;0,(AC11-R11)/R11,0)</f>
        <v/>
      </c>
      <c r="AL11" s="75">
        <f>AB11-Q11</f>
        <v/>
      </c>
      <c r="AM11" s="75">
        <f>AI11-U11</f>
        <v/>
      </c>
      <c r="AN11" s="73">
        <f>AH11</f>
        <v/>
      </c>
      <c r="AO11" s="73">
        <f>AB11+AD11</f>
        <v/>
      </c>
      <c r="AP11" s="75">
        <f>ASSUMPTIONS!$C$40-AO11</f>
        <v/>
      </c>
      <c r="AQ11" s="76">
        <f>IF(F11&lt;=ASSUMPTIONS!$C$15,"Personal Allowance",IF(F11&lt;=ASSUMPTIONS!$C$16,"Basic Rate",IF(F11&lt;=ASSUMPTIONS!$C$17,"Higher Rate","Additional Rate")))</f>
        <v/>
      </c>
      <c r="AR11" s="76">
        <f>IF(W11&lt;=ASSUMPTIONS!$C$15,"Personal Allowance",IF(W11&lt;=ASSUMPTIONS!$C$16,"Basic Rate",IF(W11&lt;=ASSUMPTIONS!$C$17,"Higher Rate","Additional Rate")))</f>
        <v/>
      </c>
      <c r="AS11" s="77">
        <f>IF(AP11&lt;0,"⚠ AA Breach!","")&amp;IF(V11&gt;F11,"⚠ Sacrifice&gt;Salary","")&amp;IF(AC11&lt;0,"⚠ Neg Take-Home","")</f>
        <v/>
      </c>
    </row>
    <row r="12" ht="18" customHeight="1">
      <c r="A12" s="51">
        <f>EMPLOYEE_DATA!A11</f>
        <v/>
      </c>
      <c r="B12" s="51">
        <f>EMPLOYEE_DATA!B11&amp;" "&amp;EMPLOYEE_DATA!C11</f>
        <v/>
      </c>
      <c r="C12" s="51">
        <f>EMPLOYEE_DATA!D11</f>
        <v/>
      </c>
      <c r="D12" s="52">
        <f>EMPLOYEE_DATA!H11</f>
        <v/>
      </c>
      <c r="E12" s="52">
        <f>EMPLOYEE_DATA!I11</f>
        <v/>
      </c>
      <c r="F12" s="53">
        <f>EMPLOYEE_DATA!J11</f>
        <v/>
      </c>
      <c r="G12" s="54">
        <f>IF(EMPLOYEE_DATA!O11&lt;&gt;"",EMPLOYEE_DATA!O11,ASSUMPTIONS!$C$48)</f>
        <v/>
      </c>
      <c r="H12" s="55">
        <f>IF(G12="Qualifying Earnings",MAX(0,MIN(F12,ASSUMPTIONS!$C$39)-ASSUMPTIONS!$C$38),IF(G12="Full Salary",D12,F12))</f>
        <v/>
      </c>
      <c r="I12" s="56">
        <f>IF(EMPLOYEE_DATA!M11="Y",EMPLOYEE_DATA!K11,ASSUMPTIONS!$C$46)</f>
        <v/>
      </c>
      <c r="J12" s="56">
        <f>IF(EMPLOYEE_DATA!M11="Y",EMPLOYEE_DATA!L11,ASSUMPTIONS!$C$47)</f>
        <v/>
      </c>
      <c r="K12" s="54">
        <f>IF(AND(EMPLOYEE_DATA!N11="Y",ASSUMPTIONS!$C$62="On"),"Yes","No")</f>
        <v/>
      </c>
      <c r="L12" s="57">
        <f>F12</f>
        <v/>
      </c>
      <c r="M12" s="57">
        <f>MAX(0,IF(L12&lt;=ASSUMPTIONS!$C$18,ASSUMPTIONS!$C$15,ASSUMPTIONS!$C$15-INT((L12-ASSUMPTIONS!$C$18)/2)))</f>
        <v/>
      </c>
      <c r="N12" s="57">
        <f>MAX(0,L12-M12)</f>
        <v/>
      </c>
      <c r="O12" s="57">
        <f>MAX(0,MIN(N12,MAX(0,ASSUMPTIONS!$C$16-M12))*ASSUMPTIONS!$E$15+MAX(0,MIN(N12,ASSUMPTIONS!$C$17-M12)-MAX(0,ASSUMPTIONS!$C$16-M12))*ASSUMPTIONS!$E$16+MAX(0,N12-MAX(0,ASSUMPTIONS!$C$17-M12))*ASSUMPTIONS!$E$17)</f>
        <v/>
      </c>
      <c r="P12" s="57">
        <f>MAX(0,MIN(L12,TAX_NI_TABLES!$D$7)-TAX_NI_TABLES!$D$6)*ASSUMPTIONS!$E$25+MAX(0,L12-TAX_NI_TABLES!$D$7)*ASSUMPTIONS!$E$26</f>
        <v/>
      </c>
      <c r="Q12" s="57">
        <f>H12*I12</f>
        <v/>
      </c>
      <c r="R12" s="58">
        <f>L12-O12-P12-Q12</f>
        <v/>
      </c>
      <c r="S12" s="57">
        <f>H12*J12</f>
        <v/>
      </c>
      <c r="T12" s="57">
        <f>MAX(0,L12-TAX_NI_TABLES!$D$8)*ASSUMPTIONS!$E$32</f>
        <v/>
      </c>
      <c r="U12" s="58">
        <f>L12+S12+T12</f>
        <v/>
      </c>
      <c r="V12" s="59">
        <f>IF(K12="Yes",H12*I12,0)</f>
        <v/>
      </c>
      <c r="W12" s="60">
        <f>L12-V12</f>
        <v/>
      </c>
      <c r="X12" s="59">
        <f>MAX(0,IF(W12&lt;=ASSUMPTIONS!$C$18,ASSUMPTIONS!$C$15,ASSUMPTIONS!$C$15-INT((W12-ASSUMPTIONS!$C$18)/2)))</f>
        <v/>
      </c>
      <c r="Y12" s="59">
        <f>MAX(0,W12-X12)</f>
        <v/>
      </c>
      <c r="Z12" s="59">
        <f>MAX(0,MIN(Y12,MAX(0,ASSUMPTIONS!$C$16-X12))*ASSUMPTIONS!$E$15+MAX(0,MIN(Y12,ASSUMPTIONS!$C$17-X12)-MAX(0,ASSUMPTIONS!$C$16-X12))*ASSUMPTIONS!$E$16+MAX(0,Y12-MAX(0,ASSUMPTIONS!$C$17-X12))*ASSUMPTIONS!$E$17)</f>
        <v/>
      </c>
      <c r="AA12" s="59">
        <f>MAX(0,MIN(W12,TAX_NI_TABLES!$D$7)-TAX_NI_TABLES!$D$6)*ASSUMPTIONS!$E$25+MAX(0,W12-TAX_NI_TABLES!$D$7)*ASSUMPTIONS!$E$26</f>
        <v/>
      </c>
      <c r="AB12" s="59">
        <f>V12</f>
        <v/>
      </c>
      <c r="AC12" s="60">
        <f>W12-Z12-AA12+AG12</f>
        <v/>
      </c>
      <c r="AD12" s="59">
        <f>H12*J12+IF(ASSUMPTIONS!$C$53="Reinvest in Pension",AF12*ASSUMPTIONS!$C$55,0)</f>
        <v/>
      </c>
      <c r="AE12" s="59">
        <f>MAX(0,W12-TAX_NI_TABLES!$D$8)*ASSUMPTIONS!$E$32</f>
        <v/>
      </c>
      <c r="AF12" s="61">
        <f>MAX(0,T12-AE12)</f>
        <v/>
      </c>
      <c r="AG12" s="59">
        <f>IF(ASSUMPTIONS!$C$53="Share with Employees",AF12*ASSUMPTIONS!$C$55,0)</f>
        <v/>
      </c>
      <c r="AH12" s="59">
        <f>AF12-AG12</f>
        <v/>
      </c>
      <c r="AI12" s="60">
        <f>W12+AD12+AE12+AG12</f>
        <v/>
      </c>
      <c r="AJ12" s="32">
        <f>AC12-R12</f>
        <v/>
      </c>
      <c r="AK12" s="62">
        <f>IF(R12&lt;&gt;0,(AC12-R12)/R12,0)</f>
        <v/>
      </c>
      <c r="AL12" s="55">
        <f>AB12-Q12</f>
        <v/>
      </c>
      <c r="AM12" s="55">
        <f>AI12-U12</f>
        <v/>
      </c>
      <c r="AN12" s="32">
        <f>AH12</f>
        <v/>
      </c>
      <c r="AO12" s="32">
        <f>AB12+AD12</f>
        <v/>
      </c>
      <c r="AP12" s="55">
        <f>ASSUMPTIONS!$C$40-AO12</f>
        <v/>
      </c>
      <c r="AQ12" s="54">
        <f>IF(F12&lt;=ASSUMPTIONS!$C$15,"Personal Allowance",IF(F12&lt;=ASSUMPTIONS!$C$16,"Basic Rate",IF(F12&lt;=ASSUMPTIONS!$C$17,"Higher Rate","Additional Rate")))</f>
        <v/>
      </c>
      <c r="AR12" s="54">
        <f>IF(W12&lt;=ASSUMPTIONS!$C$15,"Personal Allowance",IF(W12&lt;=ASSUMPTIONS!$C$16,"Basic Rate",IF(W12&lt;=ASSUMPTIONS!$C$17,"Higher Rate","Additional Rate")))</f>
        <v/>
      </c>
      <c r="AS12" s="63">
        <f>IF(AP12&lt;0,"⚠ AA Breach!","")&amp;IF(V12&gt;F12,"⚠ Sacrifice&gt;Salary","")&amp;IF(AC12&lt;0,"⚠ Neg Take-Home","")</f>
        <v/>
      </c>
    </row>
    <row r="13" ht="18" customHeight="1">
      <c r="A13" s="64">
        <f>EMPLOYEE_DATA!A12</f>
        <v/>
      </c>
      <c r="B13" s="64">
        <f>EMPLOYEE_DATA!B12&amp;" "&amp;EMPLOYEE_DATA!C12</f>
        <v/>
      </c>
      <c r="C13" s="64">
        <f>EMPLOYEE_DATA!D12</f>
        <v/>
      </c>
      <c r="D13" s="65">
        <f>EMPLOYEE_DATA!H12</f>
        <v/>
      </c>
      <c r="E13" s="65">
        <f>EMPLOYEE_DATA!I12</f>
        <v/>
      </c>
      <c r="F13" s="66">
        <f>EMPLOYEE_DATA!J12</f>
        <v/>
      </c>
      <c r="G13" s="54">
        <f>IF(EMPLOYEE_DATA!O12&lt;&gt;"",EMPLOYEE_DATA!O12,ASSUMPTIONS!$C$48)</f>
        <v/>
      </c>
      <c r="H13" s="55">
        <f>IF(G13="Qualifying Earnings",MAX(0,MIN(F13,ASSUMPTIONS!$C$39)-ASSUMPTIONS!$C$38),IF(G13="Full Salary",D13,F13))</f>
        <v/>
      </c>
      <c r="I13" s="67">
        <f>IF(EMPLOYEE_DATA!M12="Y",EMPLOYEE_DATA!K12,ASSUMPTIONS!$C$46)</f>
        <v/>
      </c>
      <c r="J13" s="67">
        <f>IF(EMPLOYEE_DATA!M12="Y",EMPLOYEE_DATA!L12,ASSUMPTIONS!$C$47)</f>
        <v/>
      </c>
      <c r="K13" s="54">
        <f>IF(AND(EMPLOYEE_DATA!N12="Y",ASSUMPTIONS!$C$62="On"),"Yes","No")</f>
        <v/>
      </c>
      <c r="L13" s="68">
        <f>F13</f>
        <v/>
      </c>
      <c r="M13" s="68">
        <f>MAX(0,IF(L13&lt;=ASSUMPTIONS!$C$18,ASSUMPTIONS!$C$15,ASSUMPTIONS!$C$15-INT((L13-ASSUMPTIONS!$C$18)/2)))</f>
        <v/>
      </c>
      <c r="N13" s="68">
        <f>MAX(0,L13-M13)</f>
        <v/>
      </c>
      <c r="O13" s="68">
        <f>MAX(0,MIN(N13,MAX(0,ASSUMPTIONS!$C$16-M13))*ASSUMPTIONS!$E$15+MAX(0,MIN(N13,ASSUMPTIONS!$C$17-M13)-MAX(0,ASSUMPTIONS!$C$16-M13))*ASSUMPTIONS!$E$16+MAX(0,N13-MAX(0,ASSUMPTIONS!$C$17-M13))*ASSUMPTIONS!$E$17)</f>
        <v/>
      </c>
      <c r="P13" s="68">
        <f>MAX(0,MIN(L13,TAX_NI_TABLES!$D$7)-TAX_NI_TABLES!$D$6)*ASSUMPTIONS!$E$25+MAX(0,L13-TAX_NI_TABLES!$D$7)*ASSUMPTIONS!$E$26</f>
        <v/>
      </c>
      <c r="Q13" s="68">
        <f>H13*I13</f>
        <v/>
      </c>
      <c r="R13" s="69">
        <f>L13-O13-P13-Q13</f>
        <v/>
      </c>
      <c r="S13" s="68">
        <f>H13*J13</f>
        <v/>
      </c>
      <c r="T13" s="68">
        <f>MAX(0,L13-TAX_NI_TABLES!$D$8)*ASSUMPTIONS!$E$32</f>
        <v/>
      </c>
      <c r="U13" s="69">
        <f>L13+S13+T13</f>
        <v/>
      </c>
      <c r="V13" s="70">
        <f>IF(K13="Yes",H13*I13,0)</f>
        <v/>
      </c>
      <c r="W13" s="71">
        <f>L13-V13</f>
        <v/>
      </c>
      <c r="X13" s="70">
        <f>MAX(0,IF(W13&lt;=ASSUMPTIONS!$C$18,ASSUMPTIONS!$C$15,ASSUMPTIONS!$C$15-INT((W13-ASSUMPTIONS!$C$18)/2)))</f>
        <v/>
      </c>
      <c r="Y13" s="70">
        <f>MAX(0,W13-X13)</f>
        <v/>
      </c>
      <c r="Z13" s="70">
        <f>MAX(0,MIN(Y13,MAX(0,ASSUMPTIONS!$C$16-X13))*ASSUMPTIONS!$E$15+MAX(0,MIN(Y13,ASSUMPTIONS!$C$17-X13)-MAX(0,ASSUMPTIONS!$C$16-X13))*ASSUMPTIONS!$E$16+MAX(0,Y13-MAX(0,ASSUMPTIONS!$C$17-X13))*ASSUMPTIONS!$E$17)</f>
        <v/>
      </c>
      <c r="AA13" s="70">
        <f>MAX(0,MIN(W13,TAX_NI_TABLES!$D$7)-TAX_NI_TABLES!$D$6)*ASSUMPTIONS!$E$25+MAX(0,W13-TAX_NI_TABLES!$D$7)*ASSUMPTIONS!$E$26</f>
        <v/>
      </c>
      <c r="AB13" s="70">
        <f>V13</f>
        <v/>
      </c>
      <c r="AC13" s="71">
        <f>W13-Z13-AA13+AG13</f>
        <v/>
      </c>
      <c r="AD13" s="70">
        <f>H13*J13+IF(ASSUMPTIONS!$C$53="Reinvest in Pension",AF13*ASSUMPTIONS!$C$55,0)</f>
        <v/>
      </c>
      <c r="AE13" s="70">
        <f>MAX(0,W13-TAX_NI_TABLES!$D$8)*ASSUMPTIONS!$E$32</f>
        <v/>
      </c>
      <c r="AF13" s="72">
        <f>MAX(0,T13-AE13)</f>
        <v/>
      </c>
      <c r="AG13" s="70">
        <f>IF(ASSUMPTIONS!$C$53="Share with Employees",AF13*ASSUMPTIONS!$C$55,0)</f>
        <v/>
      </c>
      <c r="AH13" s="70">
        <f>AF13-AG13</f>
        <v/>
      </c>
      <c r="AI13" s="71">
        <f>W13+AD13+AE13+AG13</f>
        <v/>
      </c>
      <c r="AJ13" s="73">
        <f>AC13-R13</f>
        <v/>
      </c>
      <c r="AK13" s="74">
        <f>IF(R13&lt;&gt;0,(AC13-R13)/R13,0)</f>
        <v/>
      </c>
      <c r="AL13" s="75">
        <f>AB13-Q13</f>
        <v/>
      </c>
      <c r="AM13" s="75">
        <f>AI13-U13</f>
        <v/>
      </c>
      <c r="AN13" s="73">
        <f>AH13</f>
        <v/>
      </c>
      <c r="AO13" s="73">
        <f>AB13+AD13</f>
        <v/>
      </c>
      <c r="AP13" s="75">
        <f>ASSUMPTIONS!$C$40-AO13</f>
        <v/>
      </c>
      <c r="AQ13" s="76">
        <f>IF(F13&lt;=ASSUMPTIONS!$C$15,"Personal Allowance",IF(F13&lt;=ASSUMPTIONS!$C$16,"Basic Rate",IF(F13&lt;=ASSUMPTIONS!$C$17,"Higher Rate","Additional Rate")))</f>
        <v/>
      </c>
      <c r="AR13" s="76">
        <f>IF(W13&lt;=ASSUMPTIONS!$C$15,"Personal Allowance",IF(W13&lt;=ASSUMPTIONS!$C$16,"Basic Rate",IF(W13&lt;=ASSUMPTIONS!$C$17,"Higher Rate","Additional Rate")))</f>
        <v/>
      </c>
      <c r="AS13" s="77">
        <f>IF(AP13&lt;0,"⚠ AA Breach!","")&amp;IF(V13&gt;F13,"⚠ Sacrifice&gt;Salary","")&amp;IF(AC13&lt;0,"⚠ Neg Take-Home","")</f>
        <v/>
      </c>
    </row>
    <row r="14" ht="18" customHeight="1">
      <c r="A14" s="51">
        <f>EMPLOYEE_DATA!A13</f>
        <v/>
      </c>
      <c r="B14" s="51">
        <f>EMPLOYEE_DATA!B13&amp;" "&amp;EMPLOYEE_DATA!C13</f>
        <v/>
      </c>
      <c r="C14" s="51">
        <f>EMPLOYEE_DATA!D13</f>
        <v/>
      </c>
      <c r="D14" s="52">
        <f>EMPLOYEE_DATA!H13</f>
        <v/>
      </c>
      <c r="E14" s="52">
        <f>EMPLOYEE_DATA!I13</f>
        <v/>
      </c>
      <c r="F14" s="53">
        <f>EMPLOYEE_DATA!J13</f>
        <v/>
      </c>
      <c r="G14" s="54">
        <f>IF(EMPLOYEE_DATA!O13&lt;&gt;"",EMPLOYEE_DATA!O13,ASSUMPTIONS!$C$48)</f>
        <v/>
      </c>
      <c r="H14" s="55">
        <f>IF(G14="Qualifying Earnings",MAX(0,MIN(F14,ASSUMPTIONS!$C$39)-ASSUMPTIONS!$C$38),IF(G14="Full Salary",D14,F14))</f>
        <v/>
      </c>
      <c r="I14" s="56">
        <f>IF(EMPLOYEE_DATA!M13="Y",EMPLOYEE_DATA!K13,ASSUMPTIONS!$C$46)</f>
        <v/>
      </c>
      <c r="J14" s="56">
        <f>IF(EMPLOYEE_DATA!M13="Y",EMPLOYEE_DATA!L13,ASSUMPTIONS!$C$47)</f>
        <v/>
      </c>
      <c r="K14" s="54">
        <f>IF(AND(EMPLOYEE_DATA!N13="Y",ASSUMPTIONS!$C$62="On"),"Yes","No")</f>
        <v/>
      </c>
      <c r="L14" s="57">
        <f>F14</f>
        <v/>
      </c>
      <c r="M14" s="57">
        <f>MAX(0,IF(L14&lt;=ASSUMPTIONS!$C$18,ASSUMPTIONS!$C$15,ASSUMPTIONS!$C$15-INT((L14-ASSUMPTIONS!$C$18)/2)))</f>
        <v/>
      </c>
      <c r="N14" s="57">
        <f>MAX(0,L14-M14)</f>
        <v/>
      </c>
      <c r="O14" s="57">
        <f>MAX(0,MIN(N14,MAX(0,ASSUMPTIONS!$C$16-M14))*ASSUMPTIONS!$E$15+MAX(0,MIN(N14,ASSUMPTIONS!$C$17-M14)-MAX(0,ASSUMPTIONS!$C$16-M14))*ASSUMPTIONS!$E$16+MAX(0,N14-MAX(0,ASSUMPTIONS!$C$17-M14))*ASSUMPTIONS!$E$17)</f>
        <v/>
      </c>
      <c r="P14" s="57">
        <f>MAX(0,MIN(L14,TAX_NI_TABLES!$D$7)-TAX_NI_TABLES!$D$6)*ASSUMPTIONS!$E$25+MAX(0,L14-TAX_NI_TABLES!$D$7)*ASSUMPTIONS!$E$26</f>
        <v/>
      </c>
      <c r="Q14" s="57">
        <f>H14*I14</f>
        <v/>
      </c>
      <c r="R14" s="58">
        <f>L14-O14-P14-Q14</f>
        <v/>
      </c>
      <c r="S14" s="57">
        <f>H14*J14</f>
        <v/>
      </c>
      <c r="T14" s="57">
        <f>MAX(0,L14-TAX_NI_TABLES!$D$8)*ASSUMPTIONS!$E$32</f>
        <v/>
      </c>
      <c r="U14" s="58">
        <f>L14+S14+T14</f>
        <v/>
      </c>
      <c r="V14" s="59">
        <f>IF(K14="Yes",H14*I14,0)</f>
        <v/>
      </c>
      <c r="W14" s="60">
        <f>L14-V14</f>
        <v/>
      </c>
      <c r="X14" s="59">
        <f>MAX(0,IF(W14&lt;=ASSUMPTIONS!$C$18,ASSUMPTIONS!$C$15,ASSUMPTIONS!$C$15-INT((W14-ASSUMPTIONS!$C$18)/2)))</f>
        <v/>
      </c>
      <c r="Y14" s="59">
        <f>MAX(0,W14-X14)</f>
        <v/>
      </c>
      <c r="Z14" s="59">
        <f>MAX(0,MIN(Y14,MAX(0,ASSUMPTIONS!$C$16-X14))*ASSUMPTIONS!$E$15+MAX(0,MIN(Y14,ASSUMPTIONS!$C$17-X14)-MAX(0,ASSUMPTIONS!$C$16-X14))*ASSUMPTIONS!$E$16+MAX(0,Y14-MAX(0,ASSUMPTIONS!$C$17-X14))*ASSUMPTIONS!$E$17)</f>
        <v/>
      </c>
      <c r="AA14" s="59">
        <f>MAX(0,MIN(W14,TAX_NI_TABLES!$D$7)-TAX_NI_TABLES!$D$6)*ASSUMPTIONS!$E$25+MAX(0,W14-TAX_NI_TABLES!$D$7)*ASSUMPTIONS!$E$26</f>
        <v/>
      </c>
      <c r="AB14" s="59">
        <f>V14</f>
        <v/>
      </c>
      <c r="AC14" s="60">
        <f>W14-Z14-AA14+AG14</f>
        <v/>
      </c>
      <c r="AD14" s="59">
        <f>H14*J14+IF(ASSUMPTIONS!$C$53="Reinvest in Pension",AF14*ASSUMPTIONS!$C$55,0)</f>
        <v/>
      </c>
      <c r="AE14" s="59">
        <f>MAX(0,W14-TAX_NI_TABLES!$D$8)*ASSUMPTIONS!$E$32</f>
        <v/>
      </c>
      <c r="AF14" s="61">
        <f>MAX(0,T14-AE14)</f>
        <v/>
      </c>
      <c r="AG14" s="59">
        <f>IF(ASSUMPTIONS!$C$53="Share with Employees",AF14*ASSUMPTIONS!$C$55,0)</f>
        <v/>
      </c>
      <c r="AH14" s="59">
        <f>AF14-AG14</f>
        <v/>
      </c>
      <c r="AI14" s="60">
        <f>W14+AD14+AE14+AG14</f>
        <v/>
      </c>
      <c r="AJ14" s="32">
        <f>AC14-R14</f>
        <v/>
      </c>
      <c r="AK14" s="62">
        <f>IF(R14&lt;&gt;0,(AC14-R14)/R14,0)</f>
        <v/>
      </c>
      <c r="AL14" s="55">
        <f>AB14-Q14</f>
        <v/>
      </c>
      <c r="AM14" s="55">
        <f>AI14-U14</f>
        <v/>
      </c>
      <c r="AN14" s="32">
        <f>AH14</f>
        <v/>
      </c>
      <c r="AO14" s="32">
        <f>AB14+AD14</f>
        <v/>
      </c>
      <c r="AP14" s="55">
        <f>ASSUMPTIONS!$C$40-AO14</f>
        <v/>
      </c>
      <c r="AQ14" s="54">
        <f>IF(F14&lt;=ASSUMPTIONS!$C$15,"Personal Allowance",IF(F14&lt;=ASSUMPTIONS!$C$16,"Basic Rate",IF(F14&lt;=ASSUMPTIONS!$C$17,"Higher Rate","Additional Rate")))</f>
        <v/>
      </c>
      <c r="AR14" s="54">
        <f>IF(W14&lt;=ASSUMPTIONS!$C$15,"Personal Allowance",IF(W14&lt;=ASSUMPTIONS!$C$16,"Basic Rate",IF(W14&lt;=ASSUMPTIONS!$C$17,"Higher Rate","Additional Rate")))</f>
        <v/>
      </c>
      <c r="AS14" s="63">
        <f>IF(AP14&lt;0,"⚠ AA Breach!","")&amp;IF(V14&gt;F14,"⚠ Sacrifice&gt;Salary","")&amp;IF(AC14&lt;0,"⚠ Neg Take-Home","")</f>
        <v/>
      </c>
    </row>
    <row r="15" ht="18" customHeight="1">
      <c r="A15" s="64">
        <f>EMPLOYEE_DATA!A14</f>
        <v/>
      </c>
      <c r="B15" s="64">
        <f>EMPLOYEE_DATA!B14&amp;" "&amp;EMPLOYEE_DATA!C14</f>
        <v/>
      </c>
      <c r="C15" s="64">
        <f>EMPLOYEE_DATA!D14</f>
        <v/>
      </c>
      <c r="D15" s="65">
        <f>EMPLOYEE_DATA!H14</f>
        <v/>
      </c>
      <c r="E15" s="65">
        <f>EMPLOYEE_DATA!I14</f>
        <v/>
      </c>
      <c r="F15" s="66">
        <f>EMPLOYEE_DATA!J14</f>
        <v/>
      </c>
      <c r="G15" s="54">
        <f>IF(EMPLOYEE_DATA!O14&lt;&gt;"",EMPLOYEE_DATA!O14,ASSUMPTIONS!$C$48)</f>
        <v/>
      </c>
      <c r="H15" s="55">
        <f>IF(G15="Qualifying Earnings",MAX(0,MIN(F15,ASSUMPTIONS!$C$39)-ASSUMPTIONS!$C$38),IF(G15="Full Salary",D15,F15))</f>
        <v/>
      </c>
      <c r="I15" s="67">
        <f>IF(EMPLOYEE_DATA!M14="Y",EMPLOYEE_DATA!K14,ASSUMPTIONS!$C$46)</f>
        <v/>
      </c>
      <c r="J15" s="67">
        <f>IF(EMPLOYEE_DATA!M14="Y",EMPLOYEE_DATA!L14,ASSUMPTIONS!$C$47)</f>
        <v/>
      </c>
      <c r="K15" s="54">
        <f>IF(AND(EMPLOYEE_DATA!N14="Y",ASSUMPTIONS!$C$62="On"),"Yes","No")</f>
        <v/>
      </c>
      <c r="L15" s="68">
        <f>F15</f>
        <v/>
      </c>
      <c r="M15" s="68">
        <f>MAX(0,IF(L15&lt;=ASSUMPTIONS!$C$18,ASSUMPTIONS!$C$15,ASSUMPTIONS!$C$15-INT((L15-ASSUMPTIONS!$C$18)/2)))</f>
        <v/>
      </c>
      <c r="N15" s="68">
        <f>MAX(0,L15-M15)</f>
        <v/>
      </c>
      <c r="O15" s="68">
        <f>MAX(0,MIN(N15,MAX(0,ASSUMPTIONS!$C$16-M15))*ASSUMPTIONS!$E$15+MAX(0,MIN(N15,ASSUMPTIONS!$C$17-M15)-MAX(0,ASSUMPTIONS!$C$16-M15))*ASSUMPTIONS!$E$16+MAX(0,N15-MAX(0,ASSUMPTIONS!$C$17-M15))*ASSUMPTIONS!$E$17)</f>
        <v/>
      </c>
      <c r="P15" s="68">
        <f>MAX(0,MIN(L15,TAX_NI_TABLES!$D$7)-TAX_NI_TABLES!$D$6)*ASSUMPTIONS!$E$25+MAX(0,L15-TAX_NI_TABLES!$D$7)*ASSUMPTIONS!$E$26</f>
        <v/>
      </c>
      <c r="Q15" s="68">
        <f>H15*I15</f>
        <v/>
      </c>
      <c r="R15" s="69">
        <f>L15-O15-P15-Q15</f>
        <v/>
      </c>
      <c r="S15" s="68">
        <f>H15*J15</f>
        <v/>
      </c>
      <c r="T15" s="68">
        <f>MAX(0,L15-TAX_NI_TABLES!$D$8)*ASSUMPTIONS!$E$32</f>
        <v/>
      </c>
      <c r="U15" s="69">
        <f>L15+S15+T15</f>
        <v/>
      </c>
      <c r="V15" s="70">
        <f>IF(K15="Yes",H15*I15,0)</f>
        <v/>
      </c>
      <c r="W15" s="71">
        <f>L15-V15</f>
        <v/>
      </c>
      <c r="X15" s="70">
        <f>MAX(0,IF(W15&lt;=ASSUMPTIONS!$C$18,ASSUMPTIONS!$C$15,ASSUMPTIONS!$C$15-INT((W15-ASSUMPTIONS!$C$18)/2)))</f>
        <v/>
      </c>
      <c r="Y15" s="70">
        <f>MAX(0,W15-X15)</f>
        <v/>
      </c>
      <c r="Z15" s="70">
        <f>MAX(0,MIN(Y15,MAX(0,ASSUMPTIONS!$C$16-X15))*ASSUMPTIONS!$E$15+MAX(0,MIN(Y15,ASSUMPTIONS!$C$17-X15)-MAX(0,ASSUMPTIONS!$C$16-X15))*ASSUMPTIONS!$E$16+MAX(0,Y15-MAX(0,ASSUMPTIONS!$C$17-X15))*ASSUMPTIONS!$E$17)</f>
        <v/>
      </c>
      <c r="AA15" s="70">
        <f>MAX(0,MIN(W15,TAX_NI_TABLES!$D$7)-TAX_NI_TABLES!$D$6)*ASSUMPTIONS!$E$25+MAX(0,W15-TAX_NI_TABLES!$D$7)*ASSUMPTIONS!$E$26</f>
        <v/>
      </c>
      <c r="AB15" s="70">
        <f>V15</f>
        <v/>
      </c>
      <c r="AC15" s="71">
        <f>W15-Z15-AA15+AG15</f>
        <v/>
      </c>
      <c r="AD15" s="70">
        <f>H15*J15+IF(ASSUMPTIONS!$C$53="Reinvest in Pension",AF15*ASSUMPTIONS!$C$55,0)</f>
        <v/>
      </c>
      <c r="AE15" s="70">
        <f>MAX(0,W15-TAX_NI_TABLES!$D$8)*ASSUMPTIONS!$E$32</f>
        <v/>
      </c>
      <c r="AF15" s="72">
        <f>MAX(0,T15-AE15)</f>
        <v/>
      </c>
      <c r="AG15" s="70">
        <f>IF(ASSUMPTIONS!$C$53="Share with Employees",AF15*ASSUMPTIONS!$C$55,0)</f>
        <v/>
      </c>
      <c r="AH15" s="70">
        <f>AF15-AG15</f>
        <v/>
      </c>
      <c r="AI15" s="71">
        <f>W15+AD15+AE15+AG15</f>
        <v/>
      </c>
      <c r="AJ15" s="73">
        <f>AC15-R15</f>
        <v/>
      </c>
      <c r="AK15" s="74">
        <f>IF(R15&lt;&gt;0,(AC15-R15)/R15,0)</f>
        <v/>
      </c>
      <c r="AL15" s="75">
        <f>AB15-Q15</f>
        <v/>
      </c>
      <c r="AM15" s="75">
        <f>AI15-U15</f>
        <v/>
      </c>
      <c r="AN15" s="73">
        <f>AH15</f>
        <v/>
      </c>
      <c r="AO15" s="73">
        <f>AB15+AD15</f>
        <v/>
      </c>
      <c r="AP15" s="75">
        <f>ASSUMPTIONS!$C$40-AO15</f>
        <v/>
      </c>
      <c r="AQ15" s="76">
        <f>IF(F15&lt;=ASSUMPTIONS!$C$15,"Personal Allowance",IF(F15&lt;=ASSUMPTIONS!$C$16,"Basic Rate",IF(F15&lt;=ASSUMPTIONS!$C$17,"Higher Rate","Additional Rate")))</f>
        <v/>
      </c>
      <c r="AR15" s="76">
        <f>IF(W15&lt;=ASSUMPTIONS!$C$15,"Personal Allowance",IF(W15&lt;=ASSUMPTIONS!$C$16,"Basic Rate",IF(W15&lt;=ASSUMPTIONS!$C$17,"Higher Rate","Additional Rate")))</f>
        <v/>
      </c>
      <c r="AS15" s="77">
        <f>IF(AP15&lt;0,"⚠ AA Breach!","")&amp;IF(V15&gt;F15,"⚠ Sacrifice&gt;Salary","")&amp;IF(AC15&lt;0,"⚠ Neg Take-Home","")</f>
        <v/>
      </c>
    </row>
    <row r="16" ht="18" customHeight="1">
      <c r="A16" s="51">
        <f>EMPLOYEE_DATA!A15</f>
        <v/>
      </c>
      <c r="B16" s="51">
        <f>EMPLOYEE_DATA!B15&amp;" "&amp;EMPLOYEE_DATA!C15</f>
        <v/>
      </c>
      <c r="C16" s="51">
        <f>EMPLOYEE_DATA!D15</f>
        <v/>
      </c>
      <c r="D16" s="52">
        <f>EMPLOYEE_DATA!H15</f>
        <v/>
      </c>
      <c r="E16" s="52">
        <f>EMPLOYEE_DATA!I15</f>
        <v/>
      </c>
      <c r="F16" s="53">
        <f>EMPLOYEE_DATA!J15</f>
        <v/>
      </c>
      <c r="G16" s="54">
        <f>IF(EMPLOYEE_DATA!O15&lt;&gt;"",EMPLOYEE_DATA!O15,ASSUMPTIONS!$C$48)</f>
        <v/>
      </c>
      <c r="H16" s="55">
        <f>IF(G16="Qualifying Earnings",MAX(0,MIN(F16,ASSUMPTIONS!$C$39)-ASSUMPTIONS!$C$38),IF(G16="Full Salary",D16,F16))</f>
        <v/>
      </c>
      <c r="I16" s="56">
        <f>IF(EMPLOYEE_DATA!M15="Y",EMPLOYEE_DATA!K15,ASSUMPTIONS!$C$46)</f>
        <v/>
      </c>
      <c r="J16" s="56">
        <f>IF(EMPLOYEE_DATA!M15="Y",EMPLOYEE_DATA!L15,ASSUMPTIONS!$C$47)</f>
        <v/>
      </c>
      <c r="K16" s="54">
        <f>IF(AND(EMPLOYEE_DATA!N15="Y",ASSUMPTIONS!$C$62="On"),"Yes","No")</f>
        <v/>
      </c>
      <c r="L16" s="57">
        <f>F16</f>
        <v/>
      </c>
      <c r="M16" s="57">
        <f>MAX(0,IF(L16&lt;=ASSUMPTIONS!$C$18,ASSUMPTIONS!$C$15,ASSUMPTIONS!$C$15-INT((L16-ASSUMPTIONS!$C$18)/2)))</f>
        <v/>
      </c>
      <c r="N16" s="57">
        <f>MAX(0,L16-M16)</f>
        <v/>
      </c>
      <c r="O16" s="57">
        <f>MAX(0,MIN(N16,MAX(0,ASSUMPTIONS!$C$16-M16))*ASSUMPTIONS!$E$15+MAX(0,MIN(N16,ASSUMPTIONS!$C$17-M16)-MAX(0,ASSUMPTIONS!$C$16-M16))*ASSUMPTIONS!$E$16+MAX(0,N16-MAX(0,ASSUMPTIONS!$C$17-M16))*ASSUMPTIONS!$E$17)</f>
        <v/>
      </c>
      <c r="P16" s="57">
        <f>MAX(0,MIN(L16,TAX_NI_TABLES!$D$7)-TAX_NI_TABLES!$D$6)*ASSUMPTIONS!$E$25+MAX(0,L16-TAX_NI_TABLES!$D$7)*ASSUMPTIONS!$E$26</f>
        <v/>
      </c>
      <c r="Q16" s="57">
        <f>H16*I16</f>
        <v/>
      </c>
      <c r="R16" s="58">
        <f>L16-O16-P16-Q16</f>
        <v/>
      </c>
      <c r="S16" s="57">
        <f>H16*J16</f>
        <v/>
      </c>
      <c r="T16" s="57">
        <f>MAX(0,L16-TAX_NI_TABLES!$D$8)*ASSUMPTIONS!$E$32</f>
        <v/>
      </c>
      <c r="U16" s="58">
        <f>L16+S16+T16</f>
        <v/>
      </c>
      <c r="V16" s="59">
        <f>IF(K16="Yes",H16*I16,0)</f>
        <v/>
      </c>
      <c r="W16" s="60">
        <f>L16-V16</f>
        <v/>
      </c>
      <c r="X16" s="59">
        <f>MAX(0,IF(W16&lt;=ASSUMPTIONS!$C$18,ASSUMPTIONS!$C$15,ASSUMPTIONS!$C$15-INT((W16-ASSUMPTIONS!$C$18)/2)))</f>
        <v/>
      </c>
      <c r="Y16" s="59">
        <f>MAX(0,W16-X16)</f>
        <v/>
      </c>
      <c r="Z16" s="59">
        <f>MAX(0,MIN(Y16,MAX(0,ASSUMPTIONS!$C$16-X16))*ASSUMPTIONS!$E$15+MAX(0,MIN(Y16,ASSUMPTIONS!$C$17-X16)-MAX(0,ASSUMPTIONS!$C$16-X16))*ASSUMPTIONS!$E$16+MAX(0,Y16-MAX(0,ASSUMPTIONS!$C$17-X16))*ASSUMPTIONS!$E$17)</f>
        <v/>
      </c>
      <c r="AA16" s="59">
        <f>MAX(0,MIN(W16,TAX_NI_TABLES!$D$7)-TAX_NI_TABLES!$D$6)*ASSUMPTIONS!$E$25+MAX(0,W16-TAX_NI_TABLES!$D$7)*ASSUMPTIONS!$E$26</f>
        <v/>
      </c>
      <c r="AB16" s="59">
        <f>V16</f>
        <v/>
      </c>
      <c r="AC16" s="60">
        <f>W16-Z16-AA16+AG16</f>
        <v/>
      </c>
      <c r="AD16" s="59">
        <f>H16*J16+IF(ASSUMPTIONS!$C$53="Reinvest in Pension",AF16*ASSUMPTIONS!$C$55,0)</f>
        <v/>
      </c>
      <c r="AE16" s="59">
        <f>MAX(0,W16-TAX_NI_TABLES!$D$8)*ASSUMPTIONS!$E$32</f>
        <v/>
      </c>
      <c r="AF16" s="61">
        <f>MAX(0,T16-AE16)</f>
        <v/>
      </c>
      <c r="AG16" s="59">
        <f>IF(ASSUMPTIONS!$C$53="Share with Employees",AF16*ASSUMPTIONS!$C$55,0)</f>
        <v/>
      </c>
      <c r="AH16" s="59">
        <f>AF16-AG16</f>
        <v/>
      </c>
      <c r="AI16" s="60">
        <f>W16+AD16+AE16+AG16</f>
        <v/>
      </c>
      <c r="AJ16" s="32">
        <f>AC16-R16</f>
        <v/>
      </c>
      <c r="AK16" s="62">
        <f>IF(R16&lt;&gt;0,(AC16-R16)/R16,0)</f>
        <v/>
      </c>
      <c r="AL16" s="55">
        <f>AB16-Q16</f>
        <v/>
      </c>
      <c r="AM16" s="55">
        <f>AI16-U16</f>
        <v/>
      </c>
      <c r="AN16" s="32">
        <f>AH16</f>
        <v/>
      </c>
      <c r="AO16" s="32">
        <f>AB16+AD16</f>
        <v/>
      </c>
      <c r="AP16" s="55">
        <f>ASSUMPTIONS!$C$40-AO16</f>
        <v/>
      </c>
      <c r="AQ16" s="54">
        <f>IF(F16&lt;=ASSUMPTIONS!$C$15,"Personal Allowance",IF(F16&lt;=ASSUMPTIONS!$C$16,"Basic Rate",IF(F16&lt;=ASSUMPTIONS!$C$17,"Higher Rate","Additional Rate")))</f>
        <v/>
      </c>
      <c r="AR16" s="54">
        <f>IF(W16&lt;=ASSUMPTIONS!$C$15,"Personal Allowance",IF(W16&lt;=ASSUMPTIONS!$C$16,"Basic Rate",IF(W16&lt;=ASSUMPTIONS!$C$17,"Higher Rate","Additional Rate")))</f>
        <v/>
      </c>
      <c r="AS16" s="63">
        <f>IF(AP16&lt;0,"⚠ AA Breach!","")&amp;IF(V16&gt;F16,"⚠ Sacrifice&gt;Salary","")&amp;IF(AC16&lt;0,"⚠ Neg Take-Home","")</f>
        <v/>
      </c>
    </row>
    <row r="17" ht="18" customHeight="1">
      <c r="A17" s="64">
        <f>EMPLOYEE_DATA!A16</f>
        <v/>
      </c>
      <c r="B17" s="64">
        <f>EMPLOYEE_DATA!B16&amp;" "&amp;EMPLOYEE_DATA!C16</f>
        <v/>
      </c>
      <c r="C17" s="64">
        <f>EMPLOYEE_DATA!D16</f>
        <v/>
      </c>
      <c r="D17" s="65">
        <f>EMPLOYEE_DATA!H16</f>
        <v/>
      </c>
      <c r="E17" s="65">
        <f>EMPLOYEE_DATA!I16</f>
        <v/>
      </c>
      <c r="F17" s="66">
        <f>EMPLOYEE_DATA!J16</f>
        <v/>
      </c>
      <c r="G17" s="54">
        <f>IF(EMPLOYEE_DATA!O16&lt;&gt;"",EMPLOYEE_DATA!O16,ASSUMPTIONS!$C$48)</f>
        <v/>
      </c>
      <c r="H17" s="55">
        <f>IF(G17="Qualifying Earnings",MAX(0,MIN(F17,ASSUMPTIONS!$C$39)-ASSUMPTIONS!$C$38),IF(G17="Full Salary",D17,F17))</f>
        <v/>
      </c>
      <c r="I17" s="67">
        <f>IF(EMPLOYEE_DATA!M16="Y",EMPLOYEE_DATA!K16,ASSUMPTIONS!$C$46)</f>
        <v/>
      </c>
      <c r="J17" s="67">
        <f>IF(EMPLOYEE_DATA!M16="Y",EMPLOYEE_DATA!L16,ASSUMPTIONS!$C$47)</f>
        <v/>
      </c>
      <c r="K17" s="54">
        <f>IF(AND(EMPLOYEE_DATA!N16="Y",ASSUMPTIONS!$C$62="On"),"Yes","No")</f>
        <v/>
      </c>
      <c r="L17" s="68">
        <f>F17</f>
        <v/>
      </c>
      <c r="M17" s="68">
        <f>MAX(0,IF(L17&lt;=ASSUMPTIONS!$C$18,ASSUMPTIONS!$C$15,ASSUMPTIONS!$C$15-INT((L17-ASSUMPTIONS!$C$18)/2)))</f>
        <v/>
      </c>
      <c r="N17" s="68">
        <f>MAX(0,L17-M17)</f>
        <v/>
      </c>
      <c r="O17" s="68">
        <f>MAX(0,MIN(N17,MAX(0,ASSUMPTIONS!$C$16-M17))*ASSUMPTIONS!$E$15+MAX(0,MIN(N17,ASSUMPTIONS!$C$17-M17)-MAX(0,ASSUMPTIONS!$C$16-M17))*ASSUMPTIONS!$E$16+MAX(0,N17-MAX(0,ASSUMPTIONS!$C$17-M17))*ASSUMPTIONS!$E$17)</f>
        <v/>
      </c>
      <c r="P17" s="68">
        <f>MAX(0,MIN(L17,TAX_NI_TABLES!$D$7)-TAX_NI_TABLES!$D$6)*ASSUMPTIONS!$E$25+MAX(0,L17-TAX_NI_TABLES!$D$7)*ASSUMPTIONS!$E$26</f>
        <v/>
      </c>
      <c r="Q17" s="68">
        <f>H17*I17</f>
        <v/>
      </c>
      <c r="R17" s="69">
        <f>L17-O17-P17-Q17</f>
        <v/>
      </c>
      <c r="S17" s="68">
        <f>H17*J17</f>
        <v/>
      </c>
      <c r="T17" s="68">
        <f>MAX(0,L17-TAX_NI_TABLES!$D$8)*ASSUMPTIONS!$E$32</f>
        <v/>
      </c>
      <c r="U17" s="69">
        <f>L17+S17+T17</f>
        <v/>
      </c>
      <c r="V17" s="70">
        <f>IF(K17="Yes",H17*I17,0)</f>
        <v/>
      </c>
      <c r="W17" s="71">
        <f>L17-V17</f>
        <v/>
      </c>
      <c r="X17" s="70">
        <f>MAX(0,IF(W17&lt;=ASSUMPTIONS!$C$18,ASSUMPTIONS!$C$15,ASSUMPTIONS!$C$15-INT((W17-ASSUMPTIONS!$C$18)/2)))</f>
        <v/>
      </c>
      <c r="Y17" s="70">
        <f>MAX(0,W17-X17)</f>
        <v/>
      </c>
      <c r="Z17" s="70">
        <f>MAX(0,MIN(Y17,MAX(0,ASSUMPTIONS!$C$16-X17))*ASSUMPTIONS!$E$15+MAX(0,MIN(Y17,ASSUMPTIONS!$C$17-X17)-MAX(0,ASSUMPTIONS!$C$16-X17))*ASSUMPTIONS!$E$16+MAX(0,Y17-MAX(0,ASSUMPTIONS!$C$17-X17))*ASSUMPTIONS!$E$17)</f>
        <v/>
      </c>
      <c r="AA17" s="70">
        <f>MAX(0,MIN(W17,TAX_NI_TABLES!$D$7)-TAX_NI_TABLES!$D$6)*ASSUMPTIONS!$E$25+MAX(0,W17-TAX_NI_TABLES!$D$7)*ASSUMPTIONS!$E$26</f>
        <v/>
      </c>
      <c r="AB17" s="70">
        <f>V17</f>
        <v/>
      </c>
      <c r="AC17" s="71">
        <f>W17-Z17-AA17+AG17</f>
        <v/>
      </c>
      <c r="AD17" s="70">
        <f>H17*J17+IF(ASSUMPTIONS!$C$53="Reinvest in Pension",AF17*ASSUMPTIONS!$C$55,0)</f>
        <v/>
      </c>
      <c r="AE17" s="70">
        <f>MAX(0,W17-TAX_NI_TABLES!$D$8)*ASSUMPTIONS!$E$32</f>
        <v/>
      </c>
      <c r="AF17" s="72">
        <f>MAX(0,T17-AE17)</f>
        <v/>
      </c>
      <c r="AG17" s="70">
        <f>IF(ASSUMPTIONS!$C$53="Share with Employees",AF17*ASSUMPTIONS!$C$55,0)</f>
        <v/>
      </c>
      <c r="AH17" s="70">
        <f>AF17-AG17</f>
        <v/>
      </c>
      <c r="AI17" s="71">
        <f>W17+AD17+AE17+AG17</f>
        <v/>
      </c>
      <c r="AJ17" s="73">
        <f>AC17-R17</f>
        <v/>
      </c>
      <c r="AK17" s="74">
        <f>IF(R17&lt;&gt;0,(AC17-R17)/R17,0)</f>
        <v/>
      </c>
      <c r="AL17" s="75">
        <f>AB17-Q17</f>
        <v/>
      </c>
      <c r="AM17" s="75">
        <f>AI17-U17</f>
        <v/>
      </c>
      <c r="AN17" s="73">
        <f>AH17</f>
        <v/>
      </c>
      <c r="AO17" s="73">
        <f>AB17+AD17</f>
        <v/>
      </c>
      <c r="AP17" s="75">
        <f>ASSUMPTIONS!$C$40-AO17</f>
        <v/>
      </c>
      <c r="AQ17" s="76">
        <f>IF(F17&lt;=ASSUMPTIONS!$C$15,"Personal Allowance",IF(F17&lt;=ASSUMPTIONS!$C$16,"Basic Rate",IF(F17&lt;=ASSUMPTIONS!$C$17,"Higher Rate","Additional Rate")))</f>
        <v/>
      </c>
      <c r="AR17" s="76">
        <f>IF(W17&lt;=ASSUMPTIONS!$C$15,"Personal Allowance",IF(W17&lt;=ASSUMPTIONS!$C$16,"Basic Rate",IF(W17&lt;=ASSUMPTIONS!$C$17,"Higher Rate","Additional Rate")))</f>
        <v/>
      </c>
      <c r="AS17" s="77">
        <f>IF(AP17&lt;0,"⚠ AA Breach!","")&amp;IF(V17&gt;F17,"⚠ Sacrifice&gt;Salary","")&amp;IF(AC17&lt;0,"⚠ Neg Take-Home","")</f>
        <v/>
      </c>
    </row>
    <row r="18" ht="18" customHeight="1">
      <c r="A18" s="51">
        <f>EMPLOYEE_DATA!A17</f>
        <v/>
      </c>
      <c r="B18" s="51">
        <f>EMPLOYEE_DATA!B17&amp;" "&amp;EMPLOYEE_DATA!C17</f>
        <v/>
      </c>
      <c r="C18" s="51">
        <f>EMPLOYEE_DATA!D17</f>
        <v/>
      </c>
      <c r="D18" s="52">
        <f>EMPLOYEE_DATA!H17</f>
        <v/>
      </c>
      <c r="E18" s="52">
        <f>EMPLOYEE_DATA!I17</f>
        <v/>
      </c>
      <c r="F18" s="53">
        <f>EMPLOYEE_DATA!J17</f>
        <v/>
      </c>
      <c r="G18" s="54">
        <f>IF(EMPLOYEE_DATA!O17&lt;&gt;"",EMPLOYEE_DATA!O17,ASSUMPTIONS!$C$48)</f>
        <v/>
      </c>
      <c r="H18" s="55">
        <f>IF(G18="Qualifying Earnings",MAX(0,MIN(F18,ASSUMPTIONS!$C$39)-ASSUMPTIONS!$C$38),IF(G18="Full Salary",D18,F18))</f>
        <v/>
      </c>
      <c r="I18" s="56">
        <f>IF(EMPLOYEE_DATA!M17="Y",EMPLOYEE_DATA!K17,ASSUMPTIONS!$C$46)</f>
        <v/>
      </c>
      <c r="J18" s="56">
        <f>IF(EMPLOYEE_DATA!M17="Y",EMPLOYEE_DATA!L17,ASSUMPTIONS!$C$47)</f>
        <v/>
      </c>
      <c r="K18" s="54">
        <f>IF(AND(EMPLOYEE_DATA!N17="Y",ASSUMPTIONS!$C$62="On"),"Yes","No")</f>
        <v/>
      </c>
      <c r="L18" s="57">
        <f>F18</f>
        <v/>
      </c>
      <c r="M18" s="57">
        <f>MAX(0,IF(L18&lt;=ASSUMPTIONS!$C$18,ASSUMPTIONS!$C$15,ASSUMPTIONS!$C$15-INT((L18-ASSUMPTIONS!$C$18)/2)))</f>
        <v/>
      </c>
      <c r="N18" s="57">
        <f>MAX(0,L18-M18)</f>
        <v/>
      </c>
      <c r="O18" s="57">
        <f>MAX(0,MIN(N18,MAX(0,ASSUMPTIONS!$C$16-M18))*ASSUMPTIONS!$E$15+MAX(0,MIN(N18,ASSUMPTIONS!$C$17-M18)-MAX(0,ASSUMPTIONS!$C$16-M18))*ASSUMPTIONS!$E$16+MAX(0,N18-MAX(0,ASSUMPTIONS!$C$17-M18))*ASSUMPTIONS!$E$17)</f>
        <v/>
      </c>
      <c r="P18" s="57">
        <f>MAX(0,MIN(L18,TAX_NI_TABLES!$D$7)-TAX_NI_TABLES!$D$6)*ASSUMPTIONS!$E$25+MAX(0,L18-TAX_NI_TABLES!$D$7)*ASSUMPTIONS!$E$26</f>
        <v/>
      </c>
      <c r="Q18" s="57">
        <f>H18*I18</f>
        <v/>
      </c>
      <c r="R18" s="58">
        <f>L18-O18-P18-Q18</f>
        <v/>
      </c>
      <c r="S18" s="57">
        <f>H18*J18</f>
        <v/>
      </c>
      <c r="T18" s="57">
        <f>MAX(0,L18-TAX_NI_TABLES!$D$8)*ASSUMPTIONS!$E$32</f>
        <v/>
      </c>
      <c r="U18" s="58">
        <f>L18+S18+T18</f>
        <v/>
      </c>
      <c r="V18" s="59">
        <f>IF(K18="Yes",H18*I18,0)</f>
        <v/>
      </c>
      <c r="W18" s="60">
        <f>L18-V18</f>
        <v/>
      </c>
      <c r="X18" s="59">
        <f>MAX(0,IF(W18&lt;=ASSUMPTIONS!$C$18,ASSUMPTIONS!$C$15,ASSUMPTIONS!$C$15-INT((W18-ASSUMPTIONS!$C$18)/2)))</f>
        <v/>
      </c>
      <c r="Y18" s="59">
        <f>MAX(0,W18-X18)</f>
        <v/>
      </c>
      <c r="Z18" s="59">
        <f>MAX(0,MIN(Y18,MAX(0,ASSUMPTIONS!$C$16-X18))*ASSUMPTIONS!$E$15+MAX(0,MIN(Y18,ASSUMPTIONS!$C$17-X18)-MAX(0,ASSUMPTIONS!$C$16-X18))*ASSUMPTIONS!$E$16+MAX(0,Y18-MAX(0,ASSUMPTIONS!$C$17-X18))*ASSUMPTIONS!$E$17)</f>
        <v/>
      </c>
      <c r="AA18" s="59">
        <f>MAX(0,MIN(W18,TAX_NI_TABLES!$D$7)-TAX_NI_TABLES!$D$6)*ASSUMPTIONS!$E$25+MAX(0,W18-TAX_NI_TABLES!$D$7)*ASSUMPTIONS!$E$26</f>
        <v/>
      </c>
      <c r="AB18" s="59">
        <f>V18</f>
        <v/>
      </c>
      <c r="AC18" s="60">
        <f>W18-Z18-AA18+AG18</f>
        <v/>
      </c>
      <c r="AD18" s="59">
        <f>H18*J18+IF(ASSUMPTIONS!$C$53="Reinvest in Pension",AF18*ASSUMPTIONS!$C$55,0)</f>
        <v/>
      </c>
      <c r="AE18" s="59">
        <f>MAX(0,W18-TAX_NI_TABLES!$D$8)*ASSUMPTIONS!$E$32</f>
        <v/>
      </c>
      <c r="AF18" s="61">
        <f>MAX(0,T18-AE18)</f>
        <v/>
      </c>
      <c r="AG18" s="59">
        <f>IF(ASSUMPTIONS!$C$53="Share with Employees",AF18*ASSUMPTIONS!$C$55,0)</f>
        <v/>
      </c>
      <c r="AH18" s="59">
        <f>AF18-AG18</f>
        <v/>
      </c>
      <c r="AI18" s="60">
        <f>W18+AD18+AE18+AG18</f>
        <v/>
      </c>
      <c r="AJ18" s="32">
        <f>AC18-R18</f>
        <v/>
      </c>
      <c r="AK18" s="62">
        <f>IF(R18&lt;&gt;0,(AC18-R18)/R18,0)</f>
        <v/>
      </c>
      <c r="AL18" s="55">
        <f>AB18-Q18</f>
        <v/>
      </c>
      <c r="AM18" s="55">
        <f>AI18-U18</f>
        <v/>
      </c>
      <c r="AN18" s="32">
        <f>AH18</f>
        <v/>
      </c>
      <c r="AO18" s="32">
        <f>AB18+AD18</f>
        <v/>
      </c>
      <c r="AP18" s="55">
        <f>ASSUMPTIONS!$C$40-AO18</f>
        <v/>
      </c>
      <c r="AQ18" s="54">
        <f>IF(F18&lt;=ASSUMPTIONS!$C$15,"Personal Allowance",IF(F18&lt;=ASSUMPTIONS!$C$16,"Basic Rate",IF(F18&lt;=ASSUMPTIONS!$C$17,"Higher Rate","Additional Rate")))</f>
        <v/>
      </c>
      <c r="AR18" s="54">
        <f>IF(W18&lt;=ASSUMPTIONS!$C$15,"Personal Allowance",IF(W18&lt;=ASSUMPTIONS!$C$16,"Basic Rate",IF(W18&lt;=ASSUMPTIONS!$C$17,"Higher Rate","Additional Rate")))</f>
        <v/>
      </c>
      <c r="AS18" s="63">
        <f>IF(AP18&lt;0,"⚠ AA Breach!","")&amp;IF(V18&gt;F18,"⚠ Sacrifice&gt;Salary","")&amp;IF(AC18&lt;0,"⚠ Neg Take-Home","")</f>
        <v/>
      </c>
    </row>
    <row r="19" ht="18" customHeight="1">
      <c r="A19" s="64">
        <f>EMPLOYEE_DATA!A18</f>
        <v/>
      </c>
      <c r="B19" s="64">
        <f>EMPLOYEE_DATA!B18&amp;" "&amp;EMPLOYEE_DATA!C18</f>
        <v/>
      </c>
      <c r="C19" s="64">
        <f>EMPLOYEE_DATA!D18</f>
        <v/>
      </c>
      <c r="D19" s="65">
        <f>EMPLOYEE_DATA!H18</f>
        <v/>
      </c>
      <c r="E19" s="65">
        <f>EMPLOYEE_DATA!I18</f>
        <v/>
      </c>
      <c r="F19" s="66">
        <f>EMPLOYEE_DATA!J18</f>
        <v/>
      </c>
      <c r="G19" s="54">
        <f>IF(EMPLOYEE_DATA!O18&lt;&gt;"",EMPLOYEE_DATA!O18,ASSUMPTIONS!$C$48)</f>
        <v/>
      </c>
      <c r="H19" s="55">
        <f>IF(G19="Qualifying Earnings",MAX(0,MIN(F19,ASSUMPTIONS!$C$39)-ASSUMPTIONS!$C$38),IF(G19="Full Salary",D19,F19))</f>
        <v/>
      </c>
      <c r="I19" s="67">
        <f>IF(EMPLOYEE_DATA!M18="Y",EMPLOYEE_DATA!K18,ASSUMPTIONS!$C$46)</f>
        <v/>
      </c>
      <c r="J19" s="67">
        <f>IF(EMPLOYEE_DATA!M18="Y",EMPLOYEE_DATA!L18,ASSUMPTIONS!$C$47)</f>
        <v/>
      </c>
      <c r="K19" s="54">
        <f>IF(AND(EMPLOYEE_DATA!N18="Y",ASSUMPTIONS!$C$62="On"),"Yes","No")</f>
        <v/>
      </c>
      <c r="L19" s="68">
        <f>F19</f>
        <v/>
      </c>
      <c r="M19" s="68">
        <f>MAX(0,IF(L19&lt;=ASSUMPTIONS!$C$18,ASSUMPTIONS!$C$15,ASSUMPTIONS!$C$15-INT((L19-ASSUMPTIONS!$C$18)/2)))</f>
        <v/>
      </c>
      <c r="N19" s="68">
        <f>MAX(0,L19-M19)</f>
        <v/>
      </c>
      <c r="O19" s="68">
        <f>MAX(0,MIN(N19,MAX(0,ASSUMPTIONS!$C$16-M19))*ASSUMPTIONS!$E$15+MAX(0,MIN(N19,ASSUMPTIONS!$C$17-M19)-MAX(0,ASSUMPTIONS!$C$16-M19))*ASSUMPTIONS!$E$16+MAX(0,N19-MAX(0,ASSUMPTIONS!$C$17-M19))*ASSUMPTIONS!$E$17)</f>
        <v/>
      </c>
      <c r="P19" s="68">
        <f>MAX(0,MIN(L19,TAX_NI_TABLES!$D$7)-TAX_NI_TABLES!$D$6)*ASSUMPTIONS!$E$25+MAX(0,L19-TAX_NI_TABLES!$D$7)*ASSUMPTIONS!$E$26</f>
        <v/>
      </c>
      <c r="Q19" s="68">
        <f>H19*I19</f>
        <v/>
      </c>
      <c r="R19" s="69">
        <f>L19-O19-P19-Q19</f>
        <v/>
      </c>
      <c r="S19" s="68">
        <f>H19*J19</f>
        <v/>
      </c>
      <c r="T19" s="68">
        <f>MAX(0,L19-TAX_NI_TABLES!$D$8)*ASSUMPTIONS!$E$32</f>
        <v/>
      </c>
      <c r="U19" s="69">
        <f>L19+S19+T19</f>
        <v/>
      </c>
      <c r="V19" s="70">
        <f>IF(K19="Yes",H19*I19,0)</f>
        <v/>
      </c>
      <c r="W19" s="71">
        <f>L19-V19</f>
        <v/>
      </c>
      <c r="X19" s="70">
        <f>MAX(0,IF(W19&lt;=ASSUMPTIONS!$C$18,ASSUMPTIONS!$C$15,ASSUMPTIONS!$C$15-INT((W19-ASSUMPTIONS!$C$18)/2)))</f>
        <v/>
      </c>
      <c r="Y19" s="70">
        <f>MAX(0,W19-X19)</f>
        <v/>
      </c>
      <c r="Z19" s="70">
        <f>MAX(0,MIN(Y19,MAX(0,ASSUMPTIONS!$C$16-X19))*ASSUMPTIONS!$E$15+MAX(0,MIN(Y19,ASSUMPTIONS!$C$17-X19)-MAX(0,ASSUMPTIONS!$C$16-X19))*ASSUMPTIONS!$E$16+MAX(0,Y19-MAX(0,ASSUMPTIONS!$C$17-X19))*ASSUMPTIONS!$E$17)</f>
        <v/>
      </c>
      <c r="AA19" s="70">
        <f>MAX(0,MIN(W19,TAX_NI_TABLES!$D$7)-TAX_NI_TABLES!$D$6)*ASSUMPTIONS!$E$25+MAX(0,W19-TAX_NI_TABLES!$D$7)*ASSUMPTIONS!$E$26</f>
        <v/>
      </c>
      <c r="AB19" s="70">
        <f>V19</f>
        <v/>
      </c>
      <c r="AC19" s="71">
        <f>W19-Z19-AA19+AG19</f>
        <v/>
      </c>
      <c r="AD19" s="70">
        <f>H19*J19+IF(ASSUMPTIONS!$C$53="Reinvest in Pension",AF19*ASSUMPTIONS!$C$55,0)</f>
        <v/>
      </c>
      <c r="AE19" s="70">
        <f>MAX(0,W19-TAX_NI_TABLES!$D$8)*ASSUMPTIONS!$E$32</f>
        <v/>
      </c>
      <c r="AF19" s="72">
        <f>MAX(0,T19-AE19)</f>
        <v/>
      </c>
      <c r="AG19" s="70">
        <f>IF(ASSUMPTIONS!$C$53="Share with Employees",AF19*ASSUMPTIONS!$C$55,0)</f>
        <v/>
      </c>
      <c r="AH19" s="70">
        <f>AF19-AG19</f>
        <v/>
      </c>
      <c r="AI19" s="71">
        <f>W19+AD19+AE19+AG19</f>
        <v/>
      </c>
      <c r="AJ19" s="73">
        <f>AC19-R19</f>
        <v/>
      </c>
      <c r="AK19" s="74">
        <f>IF(R19&lt;&gt;0,(AC19-R19)/R19,0)</f>
        <v/>
      </c>
      <c r="AL19" s="75">
        <f>AB19-Q19</f>
        <v/>
      </c>
      <c r="AM19" s="75">
        <f>AI19-U19</f>
        <v/>
      </c>
      <c r="AN19" s="73">
        <f>AH19</f>
        <v/>
      </c>
      <c r="AO19" s="73">
        <f>AB19+AD19</f>
        <v/>
      </c>
      <c r="AP19" s="75">
        <f>ASSUMPTIONS!$C$40-AO19</f>
        <v/>
      </c>
      <c r="AQ19" s="76">
        <f>IF(F19&lt;=ASSUMPTIONS!$C$15,"Personal Allowance",IF(F19&lt;=ASSUMPTIONS!$C$16,"Basic Rate",IF(F19&lt;=ASSUMPTIONS!$C$17,"Higher Rate","Additional Rate")))</f>
        <v/>
      </c>
      <c r="AR19" s="76">
        <f>IF(W19&lt;=ASSUMPTIONS!$C$15,"Personal Allowance",IF(W19&lt;=ASSUMPTIONS!$C$16,"Basic Rate",IF(W19&lt;=ASSUMPTIONS!$C$17,"Higher Rate","Additional Rate")))</f>
        <v/>
      </c>
      <c r="AS19" s="77">
        <f>IF(AP19&lt;0,"⚠ AA Breach!","")&amp;IF(V19&gt;F19,"⚠ Sacrifice&gt;Salary","")&amp;IF(AC19&lt;0,"⚠ Neg Take-Home","")</f>
        <v/>
      </c>
    </row>
    <row r="20" ht="18" customHeight="1">
      <c r="A20" s="51">
        <f>EMPLOYEE_DATA!A19</f>
        <v/>
      </c>
      <c r="B20" s="51">
        <f>EMPLOYEE_DATA!B19&amp;" "&amp;EMPLOYEE_DATA!C19</f>
        <v/>
      </c>
      <c r="C20" s="51">
        <f>EMPLOYEE_DATA!D19</f>
        <v/>
      </c>
      <c r="D20" s="52">
        <f>EMPLOYEE_DATA!H19</f>
        <v/>
      </c>
      <c r="E20" s="52">
        <f>EMPLOYEE_DATA!I19</f>
        <v/>
      </c>
      <c r="F20" s="53">
        <f>EMPLOYEE_DATA!J19</f>
        <v/>
      </c>
      <c r="G20" s="54">
        <f>IF(EMPLOYEE_DATA!O19&lt;&gt;"",EMPLOYEE_DATA!O19,ASSUMPTIONS!$C$48)</f>
        <v/>
      </c>
      <c r="H20" s="55">
        <f>IF(G20="Qualifying Earnings",MAX(0,MIN(F20,ASSUMPTIONS!$C$39)-ASSUMPTIONS!$C$38),IF(G20="Full Salary",D20,F20))</f>
        <v/>
      </c>
      <c r="I20" s="56">
        <f>IF(EMPLOYEE_DATA!M19="Y",EMPLOYEE_DATA!K19,ASSUMPTIONS!$C$46)</f>
        <v/>
      </c>
      <c r="J20" s="56">
        <f>IF(EMPLOYEE_DATA!M19="Y",EMPLOYEE_DATA!L19,ASSUMPTIONS!$C$47)</f>
        <v/>
      </c>
      <c r="K20" s="54">
        <f>IF(AND(EMPLOYEE_DATA!N19="Y",ASSUMPTIONS!$C$62="On"),"Yes","No")</f>
        <v/>
      </c>
      <c r="L20" s="57">
        <f>F20</f>
        <v/>
      </c>
      <c r="M20" s="57">
        <f>MAX(0,IF(L20&lt;=ASSUMPTIONS!$C$18,ASSUMPTIONS!$C$15,ASSUMPTIONS!$C$15-INT((L20-ASSUMPTIONS!$C$18)/2)))</f>
        <v/>
      </c>
      <c r="N20" s="57">
        <f>MAX(0,L20-M20)</f>
        <v/>
      </c>
      <c r="O20" s="57">
        <f>MAX(0,MIN(N20,MAX(0,ASSUMPTIONS!$C$16-M20))*ASSUMPTIONS!$E$15+MAX(0,MIN(N20,ASSUMPTIONS!$C$17-M20)-MAX(0,ASSUMPTIONS!$C$16-M20))*ASSUMPTIONS!$E$16+MAX(0,N20-MAX(0,ASSUMPTIONS!$C$17-M20))*ASSUMPTIONS!$E$17)</f>
        <v/>
      </c>
      <c r="P20" s="57">
        <f>MAX(0,MIN(L20,TAX_NI_TABLES!$D$7)-TAX_NI_TABLES!$D$6)*ASSUMPTIONS!$E$25+MAX(0,L20-TAX_NI_TABLES!$D$7)*ASSUMPTIONS!$E$26</f>
        <v/>
      </c>
      <c r="Q20" s="57">
        <f>H20*I20</f>
        <v/>
      </c>
      <c r="R20" s="58">
        <f>L20-O20-P20-Q20</f>
        <v/>
      </c>
      <c r="S20" s="57">
        <f>H20*J20</f>
        <v/>
      </c>
      <c r="T20" s="57">
        <f>MAX(0,L20-TAX_NI_TABLES!$D$8)*ASSUMPTIONS!$E$32</f>
        <v/>
      </c>
      <c r="U20" s="58">
        <f>L20+S20+T20</f>
        <v/>
      </c>
      <c r="V20" s="59">
        <f>IF(K20="Yes",H20*I20,0)</f>
        <v/>
      </c>
      <c r="W20" s="60">
        <f>L20-V20</f>
        <v/>
      </c>
      <c r="X20" s="59">
        <f>MAX(0,IF(W20&lt;=ASSUMPTIONS!$C$18,ASSUMPTIONS!$C$15,ASSUMPTIONS!$C$15-INT((W20-ASSUMPTIONS!$C$18)/2)))</f>
        <v/>
      </c>
      <c r="Y20" s="59">
        <f>MAX(0,W20-X20)</f>
        <v/>
      </c>
      <c r="Z20" s="59">
        <f>MAX(0,MIN(Y20,MAX(0,ASSUMPTIONS!$C$16-X20))*ASSUMPTIONS!$E$15+MAX(0,MIN(Y20,ASSUMPTIONS!$C$17-X20)-MAX(0,ASSUMPTIONS!$C$16-X20))*ASSUMPTIONS!$E$16+MAX(0,Y20-MAX(0,ASSUMPTIONS!$C$17-X20))*ASSUMPTIONS!$E$17)</f>
        <v/>
      </c>
      <c r="AA20" s="59">
        <f>MAX(0,MIN(W20,TAX_NI_TABLES!$D$7)-TAX_NI_TABLES!$D$6)*ASSUMPTIONS!$E$25+MAX(0,W20-TAX_NI_TABLES!$D$7)*ASSUMPTIONS!$E$26</f>
        <v/>
      </c>
      <c r="AB20" s="59">
        <f>V20</f>
        <v/>
      </c>
      <c r="AC20" s="60">
        <f>W20-Z20-AA20+AG20</f>
        <v/>
      </c>
      <c r="AD20" s="59">
        <f>H20*J20+IF(ASSUMPTIONS!$C$53="Reinvest in Pension",AF20*ASSUMPTIONS!$C$55,0)</f>
        <v/>
      </c>
      <c r="AE20" s="59">
        <f>MAX(0,W20-TAX_NI_TABLES!$D$8)*ASSUMPTIONS!$E$32</f>
        <v/>
      </c>
      <c r="AF20" s="61">
        <f>MAX(0,T20-AE20)</f>
        <v/>
      </c>
      <c r="AG20" s="59">
        <f>IF(ASSUMPTIONS!$C$53="Share with Employees",AF20*ASSUMPTIONS!$C$55,0)</f>
        <v/>
      </c>
      <c r="AH20" s="59">
        <f>AF20-AG20</f>
        <v/>
      </c>
      <c r="AI20" s="60">
        <f>W20+AD20+AE20+AG20</f>
        <v/>
      </c>
      <c r="AJ20" s="32">
        <f>AC20-R20</f>
        <v/>
      </c>
      <c r="AK20" s="62">
        <f>IF(R20&lt;&gt;0,(AC20-R20)/R20,0)</f>
        <v/>
      </c>
      <c r="AL20" s="55">
        <f>AB20-Q20</f>
        <v/>
      </c>
      <c r="AM20" s="55">
        <f>AI20-U20</f>
        <v/>
      </c>
      <c r="AN20" s="32">
        <f>AH20</f>
        <v/>
      </c>
      <c r="AO20" s="32">
        <f>AB20+AD20</f>
        <v/>
      </c>
      <c r="AP20" s="55">
        <f>ASSUMPTIONS!$C$40-AO20</f>
        <v/>
      </c>
      <c r="AQ20" s="54">
        <f>IF(F20&lt;=ASSUMPTIONS!$C$15,"Personal Allowance",IF(F20&lt;=ASSUMPTIONS!$C$16,"Basic Rate",IF(F20&lt;=ASSUMPTIONS!$C$17,"Higher Rate","Additional Rate")))</f>
        <v/>
      </c>
      <c r="AR20" s="54">
        <f>IF(W20&lt;=ASSUMPTIONS!$C$15,"Personal Allowance",IF(W20&lt;=ASSUMPTIONS!$C$16,"Basic Rate",IF(W20&lt;=ASSUMPTIONS!$C$17,"Higher Rate","Additional Rate")))</f>
        <v/>
      </c>
      <c r="AS20" s="63">
        <f>IF(AP20&lt;0,"⚠ AA Breach!","")&amp;IF(V20&gt;F20,"⚠ Sacrifice&gt;Salary","")&amp;IF(AC20&lt;0,"⚠ Neg Take-Home","")</f>
        <v/>
      </c>
    </row>
    <row r="21" ht="18" customHeight="1">
      <c r="A21" s="64">
        <f>EMPLOYEE_DATA!A20</f>
        <v/>
      </c>
      <c r="B21" s="64">
        <f>EMPLOYEE_DATA!B20&amp;" "&amp;EMPLOYEE_DATA!C20</f>
        <v/>
      </c>
      <c r="C21" s="64">
        <f>EMPLOYEE_DATA!D20</f>
        <v/>
      </c>
      <c r="D21" s="65">
        <f>EMPLOYEE_DATA!H20</f>
        <v/>
      </c>
      <c r="E21" s="65">
        <f>EMPLOYEE_DATA!I20</f>
        <v/>
      </c>
      <c r="F21" s="66">
        <f>EMPLOYEE_DATA!J20</f>
        <v/>
      </c>
      <c r="G21" s="54">
        <f>IF(EMPLOYEE_DATA!O20&lt;&gt;"",EMPLOYEE_DATA!O20,ASSUMPTIONS!$C$48)</f>
        <v/>
      </c>
      <c r="H21" s="55">
        <f>IF(G21="Qualifying Earnings",MAX(0,MIN(F21,ASSUMPTIONS!$C$39)-ASSUMPTIONS!$C$38),IF(G21="Full Salary",D21,F21))</f>
        <v/>
      </c>
      <c r="I21" s="67">
        <f>IF(EMPLOYEE_DATA!M20="Y",EMPLOYEE_DATA!K20,ASSUMPTIONS!$C$46)</f>
        <v/>
      </c>
      <c r="J21" s="67">
        <f>IF(EMPLOYEE_DATA!M20="Y",EMPLOYEE_DATA!L20,ASSUMPTIONS!$C$47)</f>
        <v/>
      </c>
      <c r="K21" s="54">
        <f>IF(AND(EMPLOYEE_DATA!N20="Y",ASSUMPTIONS!$C$62="On"),"Yes","No")</f>
        <v/>
      </c>
      <c r="L21" s="68">
        <f>F21</f>
        <v/>
      </c>
      <c r="M21" s="68">
        <f>MAX(0,IF(L21&lt;=ASSUMPTIONS!$C$18,ASSUMPTIONS!$C$15,ASSUMPTIONS!$C$15-INT((L21-ASSUMPTIONS!$C$18)/2)))</f>
        <v/>
      </c>
      <c r="N21" s="68">
        <f>MAX(0,L21-M21)</f>
        <v/>
      </c>
      <c r="O21" s="68">
        <f>MAX(0,MIN(N21,MAX(0,ASSUMPTIONS!$C$16-M21))*ASSUMPTIONS!$E$15+MAX(0,MIN(N21,ASSUMPTIONS!$C$17-M21)-MAX(0,ASSUMPTIONS!$C$16-M21))*ASSUMPTIONS!$E$16+MAX(0,N21-MAX(0,ASSUMPTIONS!$C$17-M21))*ASSUMPTIONS!$E$17)</f>
        <v/>
      </c>
      <c r="P21" s="68">
        <f>MAX(0,MIN(L21,TAX_NI_TABLES!$D$7)-TAX_NI_TABLES!$D$6)*ASSUMPTIONS!$E$25+MAX(0,L21-TAX_NI_TABLES!$D$7)*ASSUMPTIONS!$E$26</f>
        <v/>
      </c>
      <c r="Q21" s="68">
        <f>H21*I21</f>
        <v/>
      </c>
      <c r="R21" s="69">
        <f>L21-O21-P21-Q21</f>
        <v/>
      </c>
      <c r="S21" s="68">
        <f>H21*J21</f>
        <v/>
      </c>
      <c r="T21" s="68">
        <f>MAX(0,L21-TAX_NI_TABLES!$D$8)*ASSUMPTIONS!$E$32</f>
        <v/>
      </c>
      <c r="U21" s="69">
        <f>L21+S21+T21</f>
        <v/>
      </c>
      <c r="V21" s="70">
        <f>IF(K21="Yes",H21*I21,0)</f>
        <v/>
      </c>
      <c r="W21" s="71">
        <f>L21-V21</f>
        <v/>
      </c>
      <c r="X21" s="70">
        <f>MAX(0,IF(W21&lt;=ASSUMPTIONS!$C$18,ASSUMPTIONS!$C$15,ASSUMPTIONS!$C$15-INT((W21-ASSUMPTIONS!$C$18)/2)))</f>
        <v/>
      </c>
      <c r="Y21" s="70">
        <f>MAX(0,W21-X21)</f>
        <v/>
      </c>
      <c r="Z21" s="70">
        <f>MAX(0,MIN(Y21,MAX(0,ASSUMPTIONS!$C$16-X21))*ASSUMPTIONS!$E$15+MAX(0,MIN(Y21,ASSUMPTIONS!$C$17-X21)-MAX(0,ASSUMPTIONS!$C$16-X21))*ASSUMPTIONS!$E$16+MAX(0,Y21-MAX(0,ASSUMPTIONS!$C$17-X21))*ASSUMPTIONS!$E$17)</f>
        <v/>
      </c>
      <c r="AA21" s="70">
        <f>MAX(0,MIN(W21,TAX_NI_TABLES!$D$7)-TAX_NI_TABLES!$D$6)*ASSUMPTIONS!$E$25+MAX(0,W21-TAX_NI_TABLES!$D$7)*ASSUMPTIONS!$E$26</f>
        <v/>
      </c>
      <c r="AB21" s="70">
        <f>V21</f>
        <v/>
      </c>
      <c r="AC21" s="71">
        <f>W21-Z21-AA21+AG21</f>
        <v/>
      </c>
      <c r="AD21" s="70">
        <f>H21*J21+IF(ASSUMPTIONS!$C$53="Reinvest in Pension",AF21*ASSUMPTIONS!$C$55,0)</f>
        <v/>
      </c>
      <c r="AE21" s="70">
        <f>MAX(0,W21-TAX_NI_TABLES!$D$8)*ASSUMPTIONS!$E$32</f>
        <v/>
      </c>
      <c r="AF21" s="72">
        <f>MAX(0,T21-AE21)</f>
        <v/>
      </c>
      <c r="AG21" s="70">
        <f>IF(ASSUMPTIONS!$C$53="Share with Employees",AF21*ASSUMPTIONS!$C$55,0)</f>
        <v/>
      </c>
      <c r="AH21" s="70">
        <f>AF21-AG21</f>
        <v/>
      </c>
      <c r="AI21" s="71">
        <f>W21+AD21+AE21+AG21</f>
        <v/>
      </c>
      <c r="AJ21" s="73">
        <f>AC21-R21</f>
        <v/>
      </c>
      <c r="AK21" s="74">
        <f>IF(R21&lt;&gt;0,(AC21-R21)/R21,0)</f>
        <v/>
      </c>
      <c r="AL21" s="75">
        <f>AB21-Q21</f>
        <v/>
      </c>
      <c r="AM21" s="75">
        <f>AI21-U21</f>
        <v/>
      </c>
      <c r="AN21" s="73">
        <f>AH21</f>
        <v/>
      </c>
      <c r="AO21" s="73">
        <f>AB21+AD21</f>
        <v/>
      </c>
      <c r="AP21" s="75">
        <f>ASSUMPTIONS!$C$40-AO21</f>
        <v/>
      </c>
      <c r="AQ21" s="76">
        <f>IF(F21&lt;=ASSUMPTIONS!$C$15,"Personal Allowance",IF(F21&lt;=ASSUMPTIONS!$C$16,"Basic Rate",IF(F21&lt;=ASSUMPTIONS!$C$17,"Higher Rate","Additional Rate")))</f>
        <v/>
      </c>
      <c r="AR21" s="76">
        <f>IF(W21&lt;=ASSUMPTIONS!$C$15,"Personal Allowance",IF(W21&lt;=ASSUMPTIONS!$C$16,"Basic Rate",IF(W21&lt;=ASSUMPTIONS!$C$17,"Higher Rate","Additional Rate")))</f>
        <v/>
      </c>
      <c r="AS21" s="77">
        <f>IF(AP21&lt;0,"⚠ AA Breach!","")&amp;IF(V21&gt;F21,"⚠ Sacrifice&gt;Salary","")&amp;IF(AC21&lt;0,"⚠ Neg Take-Home","")</f>
        <v/>
      </c>
    </row>
    <row r="22" ht="18" customHeight="1">
      <c r="A22" s="51">
        <f>EMPLOYEE_DATA!A21</f>
        <v/>
      </c>
      <c r="B22" s="51">
        <f>EMPLOYEE_DATA!B21&amp;" "&amp;EMPLOYEE_DATA!C21</f>
        <v/>
      </c>
      <c r="C22" s="51">
        <f>EMPLOYEE_DATA!D21</f>
        <v/>
      </c>
      <c r="D22" s="52">
        <f>EMPLOYEE_DATA!H21</f>
        <v/>
      </c>
      <c r="E22" s="52">
        <f>EMPLOYEE_DATA!I21</f>
        <v/>
      </c>
      <c r="F22" s="53">
        <f>EMPLOYEE_DATA!J21</f>
        <v/>
      </c>
      <c r="G22" s="54">
        <f>IF(EMPLOYEE_DATA!O21&lt;&gt;"",EMPLOYEE_DATA!O21,ASSUMPTIONS!$C$48)</f>
        <v/>
      </c>
      <c r="H22" s="55">
        <f>IF(G22="Qualifying Earnings",MAX(0,MIN(F22,ASSUMPTIONS!$C$39)-ASSUMPTIONS!$C$38),IF(G22="Full Salary",D22,F22))</f>
        <v/>
      </c>
      <c r="I22" s="56">
        <f>IF(EMPLOYEE_DATA!M21="Y",EMPLOYEE_DATA!K21,ASSUMPTIONS!$C$46)</f>
        <v/>
      </c>
      <c r="J22" s="56">
        <f>IF(EMPLOYEE_DATA!M21="Y",EMPLOYEE_DATA!L21,ASSUMPTIONS!$C$47)</f>
        <v/>
      </c>
      <c r="K22" s="54">
        <f>IF(AND(EMPLOYEE_DATA!N21="Y",ASSUMPTIONS!$C$62="On"),"Yes","No")</f>
        <v/>
      </c>
      <c r="L22" s="57">
        <f>F22</f>
        <v/>
      </c>
      <c r="M22" s="57">
        <f>MAX(0,IF(L22&lt;=ASSUMPTIONS!$C$18,ASSUMPTIONS!$C$15,ASSUMPTIONS!$C$15-INT((L22-ASSUMPTIONS!$C$18)/2)))</f>
        <v/>
      </c>
      <c r="N22" s="57">
        <f>MAX(0,L22-M22)</f>
        <v/>
      </c>
      <c r="O22" s="57">
        <f>MAX(0,MIN(N22,MAX(0,ASSUMPTIONS!$C$16-M22))*ASSUMPTIONS!$E$15+MAX(0,MIN(N22,ASSUMPTIONS!$C$17-M22)-MAX(0,ASSUMPTIONS!$C$16-M22))*ASSUMPTIONS!$E$16+MAX(0,N22-MAX(0,ASSUMPTIONS!$C$17-M22))*ASSUMPTIONS!$E$17)</f>
        <v/>
      </c>
      <c r="P22" s="57">
        <f>MAX(0,MIN(L22,TAX_NI_TABLES!$D$7)-TAX_NI_TABLES!$D$6)*ASSUMPTIONS!$E$25+MAX(0,L22-TAX_NI_TABLES!$D$7)*ASSUMPTIONS!$E$26</f>
        <v/>
      </c>
      <c r="Q22" s="57">
        <f>H22*I22</f>
        <v/>
      </c>
      <c r="R22" s="58">
        <f>L22-O22-P22-Q22</f>
        <v/>
      </c>
      <c r="S22" s="57">
        <f>H22*J22</f>
        <v/>
      </c>
      <c r="T22" s="57">
        <f>MAX(0,L22-TAX_NI_TABLES!$D$8)*ASSUMPTIONS!$E$32</f>
        <v/>
      </c>
      <c r="U22" s="58">
        <f>L22+S22+T22</f>
        <v/>
      </c>
      <c r="V22" s="59">
        <f>IF(K22="Yes",H22*I22,0)</f>
        <v/>
      </c>
      <c r="W22" s="60">
        <f>L22-V22</f>
        <v/>
      </c>
      <c r="X22" s="59">
        <f>MAX(0,IF(W22&lt;=ASSUMPTIONS!$C$18,ASSUMPTIONS!$C$15,ASSUMPTIONS!$C$15-INT((W22-ASSUMPTIONS!$C$18)/2)))</f>
        <v/>
      </c>
      <c r="Y22" s="59">
        <f>MAX(0,W22-X22)</f>
        <v/>
      </c>
      <c r="Z22" s="59">
        <f>MAX(0,MIN(Y22,MAX(0,ASSUMPTIONS!$C$16-X22))*ASSUMPTIONS!$E$15+MAX(0,MIN(Y22,ASSUMPTIONS!$C$17-X22)-MAX(0,ASSUMPTIONS!$C$16-X22))*ASSUMPTIONS!$E$16+MAX(0,Y22-MAX(0,ASSUMPTIONS!$C$17-X22))*ASSUMPTIONS!$E$17)</f>
        <v/>
      </c>
      <c r="AA22" s="59">
        <f>MAX(0,MIN(W22,TAX_NI_TABLES!$D$7)-TAX_NI_TABLES!$D$6)*ASSUMPTIONS!$E$25+MAX(0,W22-TAX_NI_TABLES!$D$7)*ASSUMPTIONS!$E$26</f>
        <v/>
      </c>
      <c r="AB22" s="59">
        <f>V22</f>
        <v/>
      </c>
      <c r="AC22" s="60">
        <f>W22-Z22-AA22+AG22</f>
        <v/>
      </c>
      <c r="AD22" s="59">
        <f>H22*J22+IF(ASSUMPTIONS!$C$53="Reinvest in Pension",AF22*ASSUMPTIONS!$C$55,0)</f>
        <v/>
      </c>
      <c r="AE22" s="59">
        <f>MAX(0,W22-TAX_NI_TABLES!$D$8)*ASSUMPTIONS!$E$32</f>
        <v/>
      </c>
      <c r="AF22" s="61">
        <f>MAX(0,T22-AE22)</f>
        <v/>
      </c>
      <c r="AG22" s="59">
        <f>IF(ASSUMPTIONS!$C$53="Share with Employees",AF22*ASSUMPTIONS!$C$55,0)</f>
        <v/>
      </c>
      <c r="AH22" s="59">
        <f>AF22-AG22</f>
        <v/>
      </c>
      <c r="AI22" s="60">
        <f>W22+AD22+AE22+AG22</f>
        <v/>
      </c>
      <c r="AJ22" s="32">
        <f>AC22-R22</f>
        <v/>
      </c>
      <c r="AK22" s="62">
        <f>IF(R22&lt;&gt;0,(AC22-R22)/R22,0)</f>
        <v/>
      </c>
      <c r="AL22" s="55">
        <f>AB22-Q22</f>
        <v/>
      </c>
      <c r="AM22" s="55">
        <f>AI22-U22</f>
        <v/>
      </c>
      <c r="AN22" s="32">
        <f>AH22</f>
        <v/>
      </c>
      <c r="AO22" s="32">
        <f>AB22+AD22</f>
        <v/>
      </c>
      <c r="AP22" s="55">
        <f>ASSUMPTIONS!$C$40-AO22</f>
        <v/>
      </c>
      <c r="AQ22" s="54">
        <f>IF(F22&lt;=ASSUMPTIONS!$C$15,"Personal Allowance",IF(F22&lt;=ASSUMPTIONS!$C$16,"Basic Rate",IF(F22&lt;=ASSUMPTIONS!$C$17,"Higher Rate","Additional Rate")))</f>
        <v/>
      </c>
      <c r="AR22" s="54">
        <f>IF(W22&lt;=ASSUMPTIONS!$C$15,"Personal Allowance",IF(W22&lt;=ASSUMPTIONS!$C$16,"Basic Rate",IF(W22&lt;=ASSUMPTIONS!$C$17,"Higher Rate","Additional Rate")))</f>
        <v/>
      </c>
      <c r="AS22" s="63">
        <f>IF(AP22&lt;0,"⚠ AA Breach!","")&amp;IF(V22&gt;F22,"⚠ Sacrifice&gt;Salary","")&amp;IF(AC22&lt;0,"⚠ Neg Take-Home","")</f>
        <v/>
      </c>
    </row>
    <row r="23" ht="18" customHeight="1">
      <c r="A23" s="64">
        <f>EMPLOYEE_DATA!A22</f>
        <v/>
      </c>
      <c r="B23" s="64">
        <f>EMPLOYEE_DATA!B22&amp;" "&amp;EMPLOYEE_DATA!C22</f>
        <v/>
      </c>
      <c r="C23" s="64">
        <f>EMPLOYEE_DATA!D22</f>
        <v/>
      </c>
      <c r="D23" s="65">
        <f>EMPLOYEE_DATA!H22</f>
        <v/>
      </c>
      <c r="E23" s="65">
        <f>EMPLOYEE_DATA!I22</f>
        <v/>
      </c>
      <c r="F23" s="66">
        <f>EMPLOYEE_DATA!J22</f>
        <v/>
      </c>
      <c r="G23" s="54">
        <f>IF(EMPLOYEE_DATA!O22&lt;&gt;"",EMPLOYEE_DATA!O22,ASSUMPTIONS!$C$48)</f>
        <v/>
      </c>
      <c r="H23" s="55">
        <f>IF(G23="Qualifying Earnings",MAX(0,MIN(F23,ASSUMPTIONS!$C$39)-ASSUMPTIONS!$C$38),IF(G23="Full Salary",D23,F23))</f>
        <v/>
      </c>
      <c r="I23" s="67">
        <f>IF(EMPLOYEE_DATA!M22="Y",EMPLOYEE_DATA!K22,ASSUMPTIONS!$C$46)</f>
        <v/>
      </c>
      <c r="J23" s="67">
        <f>IF(EMPLOYEE_DATA!M22="Y",EMPLOYEE_DATA!L22,ASSUMPTIONS!$C$47)</f>
        <v/>
      </c>
      <c r="K23" s="54">
        <f>IF(AND(EMPLOYEE_DATA!N22="Y",ASSUMPTIONS!$C$62="On"),"Yes","No")</f>
        <v/>
      </c>
      <c r="L23" s="68">
        <f>F23</f>
        <v/>
      </c>
      <c r="M23" s="68">
        <f>MAX(0,IF(L23&lt;=ASSUMPTIONS!$C$18,ASSUMPTIONS!$C$15,ASSUMPTIONS!$C$15-INT((L23-ASSUMPTIONS!$C$18)/2)))</f>
        <v/>
      </c>
      <c r="N23" s="68">
        <f>MAX(0,L23-M23)</f>
        <v/>
      </c>
      <c r="O23" s="68">
        <f>MAX(0,MIN(N23,MAX(0,ASSUMPTIONS!$C$16-M23))*ASSUMPTIONS!$E$15+MAX(0,MIN(N23,ASSUMPTIONS!$C$17-M23)-MAX(0,ASSUMPTIONS!$C$16-M23))*ASSUMPTIONS!$E$16+MAX(0,N23-MAX(0,ASSUMPTIONS!$C$17-M23))*ASSUMPTIONS!$E$17)</f>
        <v/>
      </c>
      <c r="P23" s="68">
        <f>MAX(0,MIN(L23,TAX_NI_TABLES!$D$7)-TAX_NI_TABLES!$D$6)*ASSUMPTIONS!$E$25+MAX(0,L23-TAX_NI_TABLES!$D$7)*ASSUMPTIONS!$E$26</f>
        <v/>
      </c>
      <c r="Q23" s="68">
        <f>H23*I23</f>
        <v/>
      </c>
      <c r="R23" s="69">
        <f>L23-O23-P23-Q23</f>
        <v/>
      </c>
      <c r="S23" s="68">
        <f>H23*J23</f>
        <v/>
      </c>
      <c r="T23" s="68">
        <f>MAX(0,L23-TAX_NI_TABLES!$D$8)*ASSUMPTIONS!$E$32</f>
        <v/>
      </c>
      <c r="U23" s="69">
        <f>L23+S23+T23</f>
        <v/>
      </c>
      <c r="V23" s="70">
        <f>IF(K23="Yes",H23*I23,0)</f>
        <v/>
      </c>
      <c r="W23" s="71">
        <f>L23-V23</f>
        <v/>
      </c>
      <c r="X23" s="70">
        <f>MAX(0,IF(W23&lt;=ASSUMPTIONS!$C$18,ASSUMPTIONS!$C$15,ASSUMPTIONS!$C$15-INT((W23-ASSUMPTIONS!$C$18)/2)))</f>
        <v/>
      </c>
      <c r="Y23" s="70">
        <f>MAX(0,W23-X23)</f>
        <v/>
      </c>
      <c r="Z23" s="70">
        <f>MAX(0,MIN(Y23,MAX(0,ASSUMPTIONS!$C$16-X23))*ASSUMPTIONS!$E$15+MAX(0,MIN(Y23,ASSUMPTIONS!$C$17-X23)-MAX(0,ASSUMPTIONS!$C$16-X23))*ASSUMPTIONS!$E$16+MAX(0,Y23-MAX(0,ASSUMPTIONS!$C$17-X23))*ASSUMPTIONS!$E$17)</f>
        <v/>
      </c>
      <c r="AA23" s="70">
        <f>MAX(0,MIN(W23,TAX_NI_TABLES!$D$7)-TAX_NI_TABLES!$D$6)*ASSUMPTIONS!$E$25+MAX(0,W23-TAX_NI_TABLES!$D$7)*ASSUMPTIONS!$E$26</f>
        <v/>
      </c>
      <c r="AB23" s="70">
        <f>V23</f>
        <v/>
      </c>
      <c r="AC23" s="71">
        <f>W23-Z23-AA23+AG23</f>
        <v/>
      </c>
      <c r="AD23" s="70">
        <f>H23*J23+IF(ASSUMPTIONS!$C$53="Reinvest in Pension",AF23*ASSUMPTIONS!$C$55,0)</f>
        <v/>
      </c>
      <c r="AE23" s="70">
        <f>MAX(0,W23-TAX_NI_TABLES!$D$8)*ASSUMPTIONS!$E$32</f>
        <v/>
      </c>
      <c r="AF23" s="72">
        <f>MAX(0,T23-AE23)</f>
        <v/>
      </c>
      <c r="AG23" s="70">
        <f>IF(ASSUMPTIONS!$C$53="Share with Employees",AF23*ASSUMPTIONS!$C$55,0)</f>
        <v/>
      </c>
      <c r="AH23" s="70">
        <f>AF23-AG23</f>
        <v/>
      </c>
      <c r="AI23" s="71">
        <f>W23+AD23+AE23+AG23</f>
        <v/>
      </c>
      <c r="AJ23" s="73">
        <f>AC23-R23</f>
        <v/>
      </c>
      <c r="AK23" s="74">
        <f>IF(R23&lt;&gt;0,(AC23-R23)/R23,0)</f>
        <v/>
      </c>
      <c r="AL23" s="75">
        <f>AB23-Q23</f>
        <v/>
      </c>
      <c r="AM23" s="75">
        <f>AI23-U23</f>
        <v/>
      </c>
      <c r="AN23" s="73">
        <f>AH23</f>
        <v/>
      </c>
      <c r="AO23" s="73">
        <f>AB23+AD23</f>
        <v/>
      </c>
      <c r="AP23" s="75">
        <f>ASSUMPTIONS!$C$40-AO23</f>
        <v/>
      </c>
      <c r="AQ23" s="76">
        <f>IF(F23&lt;=ASSUMPTIONS!$C$15,"Personal Allowance",IF(F23&lt;=ASSUMPTIONS!$C$16,"Basic Rate",IF(F23&lt;=ASSUMPTIONS!$C$17,"Higher Rate","Additional Rate")))</f>
        <v/>
      </c>
      <c r="AR23" s="76">
        <f>IF(W23&lt;=ASSUMPTIONS!$C$15,"Personal Allowance",IF(W23&lt;=ASSUMPTIONS!$C$16,"Basic Rate",IF(W23&lt;=ASSUMPTIONS!$C$17,"Higher Rate","Additional Rate")))</f>
        <v/>
      </c>
      <c r="AS23" s="77">
        <f>IF(AP23&lt;0,"⚠ AA Breach!","")&amp;IF(V23&gt;F23,"⚠ Sacrifice&gt;Salary","")&amp;IF(AC23&lt;0,"⚠ Neg Take-Home","")</f>
        <v/>
      </c>
    </row>
    <row r="24" ht="18" customHeight="1">
      <c r="A24" s="51">
        <f>EMPLOYEE_DATA!A23</f>
        <v/>
      </c>
      <c r="B24" s="51">
        <f>EMPLOYEE_DATA!B23&amp;" "&amp;EMPLOYEE_DATA!C23</f>
        <v/>
      </c>
      <c r="C24" s="51">
        <f>EMPLOYEE_DATA!D23</f>
        <v/>
      </c>
      <c r="D24" s="52">
        <f>EMPLOYEE_DATA!H23</f>
        <v/>
      </c>
      <c r="E24" s="52">
        <f>EMPLOYEE_DATA!I23</f>
        <v/>
      </c>
      <c r="F24" s="53">
        <f>EMPLOYEE_DATA!J23</f>
        <v/>
      </c>
      <c r="G24" s="54">
        <f>IF(EMPLOYEE_DATA!O23&lt;&gt;"",EMPLOYEE_DATA!O23,ASSUMPTIONS!$C$48)</f>
        <v/>
      </c>
      <c r="H24" s="55">
        <f>IF(G24="Qualifying Earnings",MAX(0,MIN(F24,ASSUMPTIONS!$C$39)-ASSUMPTIONS!$C$38),IF(G24="Full Salary",D24,F24))</f>
        <v/>
      </c>
      <c r="I24" s="56">
        <f>IF(EMPLOYEE_DATA!M23="Y",EMPLOYEE_DATA!K23,ASSUMPTIONS!$C$46)</f>
        <v/>
      </c>
      <c r="J24" s="56">
        <f>IF(EMPLOYEE_DATA!M23="Y",EMPLOYEE_DATA!L23,ASSUMPTIONS!$C$47)</f>
        <v/>
      </c>
      <c r="K24" s="54">
        <f>IF(AND(EMPLOYEE_DATA!N23="Y",ASSUMPTIONS!$C$62="On"),"Yes","No")</f>
        <v/>
      </c>
      <c r="L24" s="57">
        <f>F24</f>
        <v/>
      </c>
      <c r="M24" s="57">
        <f>MAX(0,IF(L24&lt;=ASSUMPTIONS!$C$18,ASSUMPTIONS!$C$15,ASSUMPTIONS!$C$15-INT((L24-ASSUMPTIONS!$C$18)/2)))</f>
        <v/>
      </c>
      <c r="N24" s="57">
        <f>MAX(0,L24-M24)</f>
        <v/>
      </c>
      <c r="O24" s="57">
        <f>MAX(0,MIN(N24,MAX(0,ASSUMPTIONS!$C$16-M24))*ASSUMPTIONS!$E$15+MAX(0,MIN(N24,ASSUMPTIONS!$C$17-M24)-MAX(0,ASSUMPTIONS!$C$16-M24))*ASSUMPTIONS!$E$16+MAX(0,N24-MAX(0,ASSUMPTIONS!$C$17-M24))*ASSUMPTIONS!$E$17)</f>
        <v/>
      </c>
      <c r="P24" s="57">
        <f>MAX(0,MIN(L24,TAX_NI_TABLES!$D$7)-TAX_NI_TABLES!$D$6)*ASSUMPTIONS!$E$25+MAX(0,L24-TAX_NI_TABLES!$D$7)*ASSUMPTIONS!$E$26</f>
        <v/>
      </c>
      <c r="Q24" s="57">
        <f>H24*I24</f>
        <v/>
      </c>
      <c r="R24" s="58">
        <f>L24-O24-P24-Q24</f>
        <v/>
      </c>
      <c r="S24" s="57">
        <f>H24*J24</f>
        <v/>
      </c>
      <c r="T24" s="57">
        <f>MAX(0,L24-TAX_NI_TABLES!$D$8)*ASSUMPTIONS!$E$32</f>
        <v/>
      </c>
      <c r="U24" s="58">
        <f>L24+S24+T24</f>
        <v/>
      </c>
      <c r="V24" s="59">
        <f>IF(K24="Yes",H24*I24,0)</f>
        <v/>
      </c>
      <c r="W24" s="60">
        <f>L24-V24</f>
        <v/>
      </c>
      <c r="X24" s="59">
        <f>MAX(0,IF(W24&lt;=ASSUMPTIONS!$C$18,ASSUMPTIONS!$C$15,ASSUMPTIONS!$C$15-INT((W24-ASSUMPTIONS!$C$18)/2)))</f>
        <v/>
      </c>
      <c r="Y24" s="59">
        <f>MAX(0,W24-X24)</f>
        <v/>
      </c>
      <c r="Z24" s="59">
        <f>MAX(0,MIN(Y24,MAX(0,ASSUMPTIONS!$C$16-X24))*ASSUMPTIONS!$E$15+MAX(0,MIN(Y24,ASSUMPTIONS!$C$17-X24)-MAX(0,ASSUMPTIONS!$C$16-X24))*ASSUMPTIONS!$E$16+MAX(0,Y24-MAX(0,ASSUMPTIONS!$C$17-X24))*ASSUMPTIONS!$E$17)</f>
        <v/>
      </c>
      <c r="AA24" s="59">
        <f>MAX(0,MIN(W24,TAX_NI_TABLES!$D$7)-TAX_NI_TABLES!$D$6)*ASSUMPTIONS!$E$25+MAX(0,W24-TAX_NI_TABLES!$D$7)*ASSUMPTIONS!$E$26</f>
        <v/>
      </c>
      <c r="AB24" s="59">
        <f>V24</f>
        <v/>
      </c>
      <c r="AC24" s="60">
        <f>W24-Z24-AA24+AG24</f>
        <v/>
      </c>
      <c r="AD24" s="59">
        <f>H24*J24+IF(ASSUMPTIONS!$C$53="Reinvest in Pension",AF24*ASSUMPTIONS!$C$55,0)</f>
        <v/>
      </c>
      <c r="AE24" s="59">
        <f>MAX(0,W24-TAX_NI_TABLES!$D$8)*ASSUMPTIONS!$E$32</f>
        <v/>
      </c>
      <c r="AF24" s="61">
        <f>MAX(0,T24-AE24)</f>
        <v/>
      </c>
      <c r="AG24" s="59">
        <f>IF(ASSUMPTIONS!$C$53="Share with Employees",AF24*ASSUMPTIONS!$C$55,0)</f>
        <v/>
      </c>
      <c r="AH24" s="59">
        <f>AF24-AG24</f>
        <v/>
      </c>
      <c r="AI24" s="60">
        <f>W24+AD24+AE24+AG24</f>
        <v/>
      </c>
      <c r="AJ24" s="32">
        <f>AC24-R24</f>
        <v/>
      </c>
      <c r="AK24" s="62">
        <f>IF(R24&lt;&gt;0,(AC24-R24)/R24,0)</f>
        <v/>
      </c>
      <c r="AL24" s="55">
        <f>AB24-Q24</f>
        <v/>
      </c>
      <c r="AM24" s="55">
        <f>AI24-U24</f>
        <v/>
      </c>
      <c r="AN24" s="32">
        <f>AH24</f>
        <v/>
      </c>
      <c r="AO24" s="32">
        <f>AB24+AD24</f>
        <v/>
      </c>
      <c r="AP24" s="55">
        <f>ASSUMPTIONS!$C$40-AO24</f>
        <v/>
      </c>
      <c r="AQ24" s="54">
        <f>IF(F24&lt;=ASSUMPTIONS!$C$15,"Personal Allowance",IF(F24&lt;=ASSUMPTIONS!$C$16,"Basic Rate",IF(F24&lt;=ASSUMPTIONS!$C$17,"Higher Rate","Additional Rate")))</f>
        <v/>
      </c>
      <c r="AR24" s="54">
        <f>IF(W24&lt;=ASSUMPTIONS!$C$15,"Personal Allowance",IF(W24&lt;=ASSUMPTIONS!$C$16,"Basic Rate",IF(W24&lt;=ASSUMPTIONS!$C$17,"Higher Rate","Additional Rate")))</f>
        <v/>
      </c>
      <c r="AS24" s="63">
        <f>IF(AP24&lt;0,"⚠ AA Breach!","")&amp;IF(V24&gt;F24,"⚠ Sacrifice&gt;Salary","")&amp;IF(AC24&lt;0,"⚠ Neg Take-Home","")</f>
        <v/>
      </c>
    </row>
    <row r="25" ht="18" customHeight="1">
      <c r="A25" s="64">
        <f>EMPLOYEE_DATA!A24</f>
        <v/>
      </c>
      <c r="B25" s="64">
        <f>EMPLOYEE_DATA!B24&amp;" "&amp;EMPLOYEE_DATA!C24</f>
        <v/>
      </c>
      <c r="C25" s="64">
        <f>EMPLOYEE_DATA!D24</f>
        <v/>
      </c>
      <c r="D25" s="65">
        <f>EMPLOYEE_DATA!H24</f>
        <v/>
      </c>
      <c r="E25" s="65">
        <f>EMPLOYEE_DATA!I24</f>
        <v/>
      </c>
      <c r="F25" s="66">
        <f>EMPLOYEE_DATA!J24</f>
        <v/>
      </c>
      <c r="G25" s="54">
        <f>IF(EMPLOYEE_DATA!O24&lt;&gt;"",EMPLOYEE_DATA!O24,ASSUMPTIONS!$C$48)</f>
        <v/>
      </c>
      <c r="H25" s="55">
        <f>IF(G25="Qualifying Earnings",MAX(0,MIN(F25,ASSUMPTIONS!$C$39)-ASSUMPTIONS!$C$38),IF(G25="Full Salary",D25,F25))</f>
        <v/>
      </c>
      <c r="I25" s="67">
        <f>IF(EMPLOYEE_DATA!M24="Y",EMPLOYEE_DATA!K24,ASSUMPTIONS!$C$46)</f>
        <v/>
      </c>
      <c r="J25" s="67">
        <f>IF(EMPLOYEE_DATA!M24="Y",EMPLOYEE_DATA!L24,ASSUMPTIONS!$C$47)</f>
        <v/>
      </c>
      <c r="K25" s="54">
        <f>IF(AND(EMPLOYEE_DATA!N24="Y",ASSUMPTIONS!$C$62="On"),"Yes","No")</f>
        <v/>
      </c>
      <c r="L25" s="68">
        <f>F25</f>
        <v/>
      </c>
      <c r="M25" s="68">
        <f>MAX(0,IF(L25&lt;=ASSUMPTIONS!$C$18,ASSUMPTIONS!$C$15,ASSUMPTIONS!$C$15-INT((L25-ASSUMPTIONS!$C$18)/2)))</f>
        <v/>
      </c>
      <c r="N25" s="68">
        <f>MAX(0,L25-M25)</f>
        <v/>
      </c>
      <c r="O25" s="68">
        <f>MAX(0,MIN(N25,MAX(0,ASSUMPTIONS!$C$16-M25))*ASSUMPTIONS!$E$15+MAX(0,MIN(N25,ASSUMPTIONS!$C$17-M25)-MAX(0,ASSUMPTIONS!$C$16-M25))*ASSUMPTIONS!$E$16+MAX(0,N25-MAX(0,ASSUMPTIONS!$C$17-M25))*ASSUMPTIONS!$E$17)</f>
        <v/>
      </c>
      <c r="P25" s="68">
        <f>MAX(0,MIN(L25,TAX_NI_TABLES!$D$7)-TAX_NI_TABLES!$D$6)*ASSUMPTIONS!$E$25+MAX(0,L25-TAX_NI_TABLES!$D$7)*ASSUMPTIONS!$E$26</f>
        <v/>
      </c>
      <c r="Q25" s="68">
        <f>H25*I25</f>
        <v/>
      </c>
      <c r="R25" s="69">
        <f>L25-O25-P25-Q25</f>
        <v/>
      </c>
      <c r="S25" s="68">
        <f>H25*J25</f>
        <v/>
      </c>
      <c r="T25" s="68">
        <f>MAX(0,L25-TAX_NI_TABLES!$D$8)*ASSUMPTIONS!$E$32</f>
        <v/>
      </c>
      <c r="U25" s="69">
        <f>L25+S25+T25</f>
        <v/>
      </c>
      <c r="V25" s="70">
        <f>IF(K25="Yes",H25*I25,0)</f>
        <v/>
      </c>
      <c r="W25" s="71">
        <f>L25-V25</f>
        <v/>
      </c>
      <c r="X25" s="70">
        <f>MAX(0,IF(W25&lt;=ASSUMPTIONS!$C$18,ASSUMPTIONS!$C$15,ASSUMPTIONS!$C$15-INT((W25-ASSUMPTIONS!$C$18)/2)))</f>
        <v/>
      </c>
      <c r="Y25" s="70">
        <f>MAX(0,W25-X25)</f>
        <v/>
      </c>
      <c r="Z25" s="70">
        <f>MAX(0,MIN(Y25,MAX(0,ASSUMPTIONS!$C$16-X25))*ASSUMPTIONS!$E$15+MAX(0,MIN(Y25,ASSUMPTIONS!$C$17-X25)-MAX(0,ASSUMPTIONS!$C$16-X25))*ASSUMPTIONS!$E$16+MAX(0,Y25-MAX(0,ASSUMPTIONS!$C$17-X25))*ASSUMPTIONS!$E$17)</f>
        <v/>
      </c>
      <c r="AA25" s="70">
        <f>MAX(0,MIN(W25,TAX_NI_TABLES!$D$7)-TAX_NI_TABLES!$D$6)*ASSUMPTIONS!$E$25+MAX(0,W25-TAX_NI_TABLES!$D$7)*ASSUMPTIONS!$E$26</f>
        <v/>
      </c>
      <c r="AB25" s="70">
        <f>V25</f>
        <v/>
      </c>
      <c r="AC25" s="71">
        <f>W25-Z25-AA25+AG25</f>
        <v/>
      </c>
      <c r="AD25" s="70">
        <f>H25*J25+IF(ASSUMPTIONS!$C$53="Reinvest in Pension",AF25*ASSUMPTIONS!$C$55,0)</f>
        <v/>
      </c>
      <c r="AE25" s="70">
        <f>MAX(0,W25-TAX_NI_TABLES!$D$8)*ASSUMPTIONS!$E$32</f>
        <v/>
      </c>
      <c r="AF25" s="72">
        <f>MAX(0,T25-AE25)</f>
        <v/>
      </c>
      <c r="AG25" s="70">
        <f>IF(ASSUMPTIONS!$C$53="Share with Employees",AF25*ASSUMPTIONS!$C$55,0)</f>
        <v/>
      </c>
      <c r="AH25" s="70">
        <f>AF25-AG25</f>
        <v/>
      </c>
      <c r="AI25" s="71">
        <f>W25+AD25+AE25+AG25</f>
        <v/>
      </c>
      <c r="AJ25" s="73">
        <f>AC25-R25</f>
        <v/>
      </c>
      <c r="AK25" s="74">
        <f>IF(R25&lt;&gt;0,(AC25-R25)/R25,0)</f>
        <v/>
      </c>
      <c r="AL25" s="75">
        <f>AB25-Q25</f>
        <v/>
      </c>
      <c r="AM25" s="75">
        <f>AI25-U25</f>
        <v/>
      </c>
      <c r="AN25" s="73">
        <f>AH25</f>
        <v/>
      </c>
      <c r="AO25" s="73">
        <f>AB25+AD25</f>
        <v/>
      </c>
      <c r="AP25" s="75">
        <f>ASSUMPTIONS!$C$40-AO25</f>
        <v/>
      </c>
      <c r="AQ25" s="76">
        <f>IF(F25&lt;=ASSUMPTIONS!$C$15,"Personal Allowance",IF(F25&lt;=ASSUMPTIONS!$C$16,"Basic Rate",IF(F25&lt;=ASSUMPTIONS!$C$17,"Higher Rate","Additional Rate")))</f>
        <v/>
      </c>
      <c r="AR25" s="76">
        <f>IF(W25&lt;=ASSUMPTIONS!$C$15,"Personal Allowance",IF(W25&lt;=ASSUMPTIONS!$C$16,"Basic Rate",IF(W25&lt;=ASSUMPTIONS!$C$17,"Higher Rate","Additional Rate")))</f>
        <v/>
      </c>
      <c r="AS25" s="77">
        <f>IF(AP25&lt;0,"⚠ AA Breach!","")&amp;IF(V25&gt;F25,"⚠ Sacrifice&gt;Salary","")&amp;IF(AC25&lt;0,"⚠ Neg Take-Home","")</f>
        <v/>
      </c>
    </row>
    <row r="26" ht="18" customHeight="1">
      <c r="A26" s="51">
        <f>EMPLOYEE_DATA!A25</f>
        <v/>
      </c>
      <c r="B26" s="51">
        <f>EMPLOYEE_DATA!B25&amp;" "&amp;EMPLOYEE_DATA!C25</f>
        <v/>
      </c>
      <c r="C26" s="51">
        <f>EMPLOYEE_DATA!D25</f>
        <v/>
      </c>
      <c r="D26" s="52">
        <f>EMPLOYEE_DATA!H25</f>
        <v/>
      </c>
      <c r="E26" s="52">
        <f>EMPLOYEE_DATA!I25</f>
        <v/>
      </c>
      <c r="F26" s="53">
        <f>EMPLOYEE_DATA!J25</f>
        <v/>
      </c>
      <c r="G26" s="54">
        <f>IF(EMPLOYEE_DATA!O25&lt;&gt;"",EMPLOYEE_DATA!O25,ASSUMPTIONS!$C$48)</f>
        <v/>
      </c>
      <c r="H26" s="55">
        <f>IF(G26="Qualifying Earnings",MAX(0,MIN(F26,ASSUMPTIONS!$C$39)-ASSUMPTIONS!$C$38),IF(G26="Full Salary",D26,F26))</f>
        <v/>
      </c>
      <c r="I26" s="56">
        <f>IF(EMPLOYEE_DATA!M25="Y",EMPLOYEE_DATA!K25,ASSUMPTIONS!$C$46)</f>
        <v/>
      </c>
      <c r="J26" s="56">
        <f>IF(EMPLOYEE_DATA!M25="Y",EMPLOYEE_DATA!L25,ASSUMPTIONS!$C$47)</f>
        <v/>
      </c>
      <c r="K26" s="54">
        <f>IF(AND(EMPLOYEE_DATA!N25="Y",ASSUMPTIONS!$C$62="On"),"Yes","No")</f>
        <v/>
      </c>
      <c r="L26" s="57">
        <f>F26</f>
        <v/>
      </c>
      <c r="M26" s="57">
        <f>MAX(0,IF(L26&lt;=ASSUMPTIONS!$C$18,ASSUMPTIONS!$C$15,ASSUMPTIONS!$C$15-INT((L26-ASSUMPTIONS!$C$18)/2)))</f>
        <v/>
      </c>
      <c r="N26" s="57">
        <f>MAX(0,L26-M26)</f>
        <v/>
      </c>
      <c r="O26" s="57">
        <f>MAX(0,MIN(N26,MAX(0,ASSUMPTIONS!$C$16-M26))*ASSUMPTIONS!$E$15+MAX(0,MIN(N26,ASSUMPTIONS!$C$17-M26)-MAX(0,ASSUMPTIONS!$C$16-M26))*ASSUMPTIONS!$E$16+MAX(0,N26-MAX(0,ASSUMPTIONS!$C$17-M26))*ASSUMPTIONS!$E$17)</f>
        <v/>
      </c>
      <c r="P26" s="57">
        <f>MAX(0,MIN(L26,TAX_NI_TABLES!$D$7)-TAX_NI_TABLES!$D$6)*ASSUMPTIONS!$E$25+MAX(0,L26-TAX_NI_TABLES!$D$7)*ASSUMPTIONS!$E$26</f>
        <v/>
      </c>
      <c r="Q26" s="57">
        <f>H26*I26</f>
        <v/>
      </c>
      <c r="R26" s="58">
        <f>L26-O26-P26-Q26</f>
        <v/>
      </c>
      <c r="S26" s="57">
        <f>H26*J26</f>
        <v/>
      </c>
      <c r="T26" s="57">
        <f>MAX(0,L26-TAX_NI_TABLES!$D$8)*ASSUMPTIONS!$E$32</f>
        <v/>
      </c>
      <c r="U26" s="58">
        <f>L26+S26+T26</f>
        <v/>
      </c>
      <c r="V26" s="59">
        <f>IF(K26="Yes",H26*I26,0)</f>
        <v/>
      </c>
      <c r="W26" s="60">
        <f>L26-V26</f>
        <v/>
      </c>
      <c r="X26" s="59">
        <f>MAX(0,IF(W26&lt;=ASSUMPTIONS!$C$18,ASSUMPTIONS!$C$15,ASSUMPTIONS!$C$15-INT((W26-ASSUMPTIONS!$C$18)/2)))</f>
        <v/>
      </c>
      <c r="Y26" s="59">
        <f>MAX(0,W26-X26)</f>
        <v/>
      </c>
      <c r="Z26" s="59">
        <f>MAX(0,MIN(Y26,MAX(0,ASSUMPTIONS!$C$16-X26))*ASSUMPTIONS!$E$15+MAX(0,MIN(Y26,ASSUMPTIONS!$C$17-X26)-MAX(0,ASSUMPTIONS!$C$16-X26))*ASSUMPTIONS!$E$16+MAX(0,Y26-MAX(0,ASSUMPTIONS!$C$17-X26))*ASSUMPTIONS!$E$17)</f>
        <v/>
      </c>
      <c r="AA26" s="59">
        <f>MAX(0,MIN(W26,TAX_NI_TABLES!$D$7)-TAX_NI_TABLES!$D$6)*ASSUMPTIONS!$E$25+MAX(0,W26-TAX_NI_TABLES!$D$7)*ASSUMPTIONS!$E$26</f>
        <v/>
      </c>
      <c r="AB26" s="59">
        <f>V26</f>
        <v/>
      </c>
      <c r="AC26" s="60">
        <f>W26-Z26-AA26+AG26</f>
        <v/>
      </c>
      <c r="AD26" s="59">
        <f>H26*J26+IF(ASSUMPTIONS!$C$53="Reinvest in Pension",AF26*ASSUMPTIONS!$C$55,0)</f>
        <v/>
      </c>
      <c r="AE26" s="59">
        <f>MAX(0,W26-TAX_NI_TABLES!$D$8)*ASSUMPTIONS!$E$32</f>
        <v/>
      </c>
      <c r="AF26" s="61">
        <f>MAX(0,T26-AE26)</f>
        <v/>
      </c>
      <c r="AG26" s="59">
        <f>IF(ASSUMPTIONS!$C$53="Share with Employees",AF26*ASSUMPTIONS!$C$55,0)</f>
        <v/>
      </c>
      <c r="AH26" s="59">
        <f>AF26-AG26</f>
        <v/>
      </c>
      <c r="AI26" s="60">
        <f>W26+AD26+AE26+AG26</f>
        <v/>
      </c>
      <c r="AJ26" s="32">
        <f>AC26-R26</f>
        <v/>
      </c>
      <c r="AK26" s="62">
        <f>IF(R26&lt;&gt;0,(AC26-R26)/R26,0)</f>
        <v/>
      </c>
      <c r="AL26" s="55">
        <f>AB26-Q26</f>
        <v/>
      </c>
      <c r="AM26" s="55">
        <f>AI26-U26</f>
        <v/>
      </c>
      <c r="AN26" s="32">
        <f>AH26</f>
        <v/>
      </c>
      <c r="AO26" s="32">
        <f>AB26+AD26</f>
        <v/>
      </c>
      <c r="AP26" s="55">
        <f>ASSUMPTIONS!$C$40-AO26</f>
        <v/>
      </c>
      <c r="AQ26" s="54">
        <f>IF(F26&lt;=ASSUMPTIONS!$C$15,"Personal Allowance",IF(F26&lt;=ASSUMPTIONS!$C$16,"Basic Rate",IF(F26&lt;=ASSUMPTIONS!$C$17,"Higher Rate","Additional Rate")))</f>
        <v/>
      </c>
      <c r="AR26" s="54">
        <f>IF(W26&lt;=ASSUMPTIONS!$C$15,"Personal Allowance",IF(W26&lt;=ASSUMPTIONS!$C$16,"Basic Rate",IF(W26&lt;=ASSUMPTIONS!$C$17,"Higher Rate","Additional Rate")))</f>
        <v/>
      </c>
      <c r="AS26" s="63">
        <f>IF(AP26&lt;0,"⚠ AA Breach!","")&amp;IF(V26&gt;F26,"⚠ Sacrifice&gt;Salary","")&amp;IF(AC26&lt;0,"⚠ Neg Take-Home","")</f>
        <v/>
      </c>
    </row>
    <row r="27" ht="18" customHeight="1">
      <c r="A27" s="64">
        <f>EMPLOYEE_DATA!A26</f>
        <v/>
      </c>
      <c r="B27" s="64">
        <f>EMPLOYEE_DATA!B26&amp;" "&amp;EMPLOYEE_DATA!C26</f>
        <v/>
      </c>
      <c r="C27" s="64">
        <f>EMPLOYEE_DATA!D26</f>
        <v/>
      </c>
      <c r="D27" s="65">
        <f>EMPLOYEE_DATA!H26</f>
        <v/>
      </c>
      <c r="E27" s="65">
        <f>EMPLOYEE_DATA!I26</f>
        <v/>
      </c>
      <c r="F27" s="66">
        <f>EMPLOYEE_DATA!J26</f>
        <v/>
      </c>
      <c r="G27" s="54">
        <f>IF(EMPLOYEE_DATA!O26&lt;&gt;"",EMPLOYEE_DATA!O26,ASSUMPTIONS!$C$48)</f>
        <v/>
      </c>
      <c r="H27" s="55">
        <f>IF(G27="Qualifying Earnings",MAX(0,MIN(F27,ASSUMPTIONS!$C$39)-ASSUMPTIONS!$C$38),IF(G27="Full Salary",D27,F27))</f>
        <v/>
      </c>
      <c r="I27" s="67">
        <f>IF(EMPLOYEE_DATA!M26="Y",EMPLOYEE_DATA!K26,ASSUMPTIONS!$C$46)</f>
        <v/>
      </c>
      <c r="J27" s="67">
        <f>IF(EMPLOYEE_DATA!M26="Y",EMPLOYEE_DATA!L26,ASSUMPTIONS!$C$47)</f>
        <v/>
      </c>
      <c r="K27" s="54">
        <f>IF(AND(EMPLOYEE_DATA!N26="Y",ASSUMPTIONS!$C$62="On"),"Yes","No")</f>
        <v/>
      </c>
      <c r="L27" s="68">
        <f>F27</f>
        <v/>
      </c>
      <c r="M27" s="68">
        <f>MAX(0,IF(L27&lt;=ASSUMPTIONS!$C$18,ASSUMPTIONS!$C$15,ASSUMPTIONS!$C$15-INT((L27-ASSUMPTIONS!$C$18)/2)))</f>
        <v/>
      </c>
      <c r="N27" s="68">
        <f>MAX(0,L27-M27)</f>
        <v/>
      </c>
      <c r="O27" s="68">
        <f>MAX(0,MIN(N27,MAX(0,ASSUMPTIONS!$C$16-M27))*ASSUMPTIONS!$E$15+MAX(0,MIN(N27,ASSUMPTIONS!$C$17-M27)-MAX(0,ASSUMPTIONS!$C$16-M27))*ASSUMPTIONS!$E$16+MAX(0,N27-MAX(0,ASSUMPTIONS!$C$17-M27))*ASSUMPTIONS!$E$17)</f>
        <v/>
      </c>
      <c r="P27" s="68">
        <f>MAX(0,MIN(L27,TAX_NI_TABLES!$D$7)-TAX_NI_TABLES!$D$6)*ASSUMPTIONS!$E$25+MAX(0,L27-TAX_NI_TABLES!$D$7)*ASSUMPTIONS!$E$26</f>
        <v/>
      </c>
      <c r="Q27" s="68">
        <f>H27*I27</f>
        <v/>
      </c>
      <c r="R27" s="69">
        <f>L27-O27-P27-Q27</f>
        <v/>
      </c>
      <c r="S27" s="68">
        <f>H27*J27</f>
        <v/>
      </c>
      <c r="T27" s="68">
        <f>MAX(0,L27-TAX_NI_TABLES!$D$8)*ASSUMPTIONS!$E$32</f>
        <v/>
      </c>
      <c r="U27" s="69">
        <f>L27+S27+T27</f>
        <v/>
      </c>
      <c r="V27" s="70">
        <f>IF(K27="Yes",H27*I27,0)</f>
        <v/>
      </c>
      <c r="W27" s="71">
        <f>L27-V27</f>
        <v/>
      </c>
      <c r="X27" s="70">
        <f>MAX(0,IF(W27&lt;=ASSUMPTIONS!$C$18,ASSUMPTIONS!$C$15,ASSUMPTIONS!$C$15-INT((W27-ASSUMPTIONS!$C$18)/2)))</f>
        <v/>
      </c>
      <c r="Y27" s="70">
        <f>MAX(0,W27-X27)</f>
        <v/>
      </c>
      <c r="Z27" s="70">
        <f>MAX(0,MIN(Y27,MAX(0,ASSUMPTIONS!$C$16-X27))*ASSUMPTIONS!$E$15+MAX(0,MIN(Y27,ASSUMPTIONS!$C$17-X27)-MAX(0,ASSUMPTIONS!$C$16-X27))*ASSUMPTIONS!$E$16+MAX(0,Y27-MAX(0,ASSUMPTIONS!$C$17-X27))*ASSUMPTIONS!$E$17)</f>
        <v/>
      </c>
      <c r="AA27" s="70">
        <f>MAX(0,MIN(W27,TAX_NI_TABLES!$D$7)-TAX_NI_TABLES!$D$6)*ASSUMPTIONS!$E$25+MAX(0,W27-TAX_NI_TABLES!$D$7)*ASSUMPTIONS!$E$26</f>
        <v/>
      </c>
      <c r="AB27" s="70">
        <f>V27</f>
        <v/>
      </c>
      <c r="AC27" s="71">
        <f>W27-Z27-AA27+AG27</f>
        <v/>
      </c>
      <c r="AD27" s="70">
        <f>H27*J27+IF(ASSUMPTIONS!$C$53="Reinvest in Pension",AF27*ASSUMPTIONS!$C$55,0)</f>
        <v/>
      </c>
      <c r="AE27" s="70">
        <f>MAX(0,W27-TAX_NI_TABLES!$D$8)*ASSUMPTIONS!$E$32</f>
        <v/>
      </c>
      <c r="AF27" s="72">
        <f>MAX(0,T27-AE27)</f>
        <v/>
      </c>
      <c r="AG27" s="70">
        <f>IF(ASSUMPTIONS!$C$53="Share with Employees",AF27*ASSUMPTIONS!$C$55,0)</f>
        <v/>
      </c>
      <c r="AH27" s="70">
        <f>AF27-AG27</f>
        <v/>
      </c>
      <c r="AI27" s="71">
        <f>W27+AD27+AE27+AG27</f>
        <v/>
      </c>
      <c r="AJ27" s="73">
        <f>AC27-R27</f>
        <v/>
      </c>
      <c r="AK27" s="74">
        <f>IF(R27&lt;&gt;0,(AC27-R27)/R27,0)</f>
        <v/>
      </c>
      <c r="AL27" s="75">
        <f>AB27-Q27</f>
        <v/>
      </c>
      <c r="AM27" s="75">
        <f>AI27-U27</f>
        <v/>
      </c>
      <c r="AN27" s="73">
        <f>AH27</f>
        <v/>
      </c>
      <c r="AO27" s="73">
        <f>AB27+AD27</f>
        <v/>
      </c>
      <c r="AP27" s="75">
        <f>ASSUMPTIONS!$C$40-AO27</f>
        <v/>
      </c>
      <c r="AQ27" s="76">
        <f>IF(F27&lt;=ASSUMPTIONS!$C$15,"Personal Allowance",IF(F27&lt;=ASSUMPTIONS!$C$16,"Basic Rate",IF(F27&lt;=ASSUMPTIONS!$C$17,"Higher Rate","Additional Rate")))</f>
        <v/>
      </c>
      <c r="AR27" s="76">
        <f>IF(W27&lt;=ASSUMPTIONS!$C$15,"Personal Allowance",IF(W27&lt;=ASSUMPTIONS!$C$16,"Basic Rate",IF(W27&lt;=ASSUMPTIONS!$C$17,"Higher Rate","Additional Rate")))</f>
        <v/>
      </c>
      <c r="AS27" s="77">
        <f>IF(AP27&lt;0,"⚠ AA Breach!","")&amp;IF(V27&gt;F27,"⚠ Sacrifice&gt;Salary","")&amp;IF(AC27&lt;0,"⚠ Neg Take-Home","")</f>
        <v/>
      </c>
    </row>
    <row r="28" ht="18" customHeight="1">
      <c r="A28" s="51">
        <f>EMPLOYEE_DATA!A27</f>
        <v/>
      </c>
      <c r="B28" s="51">
        <f>EMPLOYEE_DATA!B27&amp;" "&amp;EMPLOYEE_DATA!C27</f>
        <v/>
      </c>
      <c r="C28" s="51">
        <f>EMPLOYEE_DATA!D27</f>
        <v/>
      </c>
      <c r="D28" s="52">
        <f>EMPLOYEE_DATA!H27</f>
        <v/>
      </c>
      <c r="E28" s="52">
        <f>EMPLOYEE_DATA!I27</f>
        <v/>
      </c>
      <c r="F28" s="53">
        <f>EMPLOYEE_DATA!J27</f>
        <v/>
      </c>
      <c r="G28" s="54">
        <f>IF(EMPLOYEE_DATA!O27&lt;&gt;"",EMPLOYEE_DATA!O27,ASSUMPTIONS!$C$48)</f>
        <v/>
      </c>
      <c r="H28" s="55">
        <f>IF(G28="Qualifying Earnings",MAX(0,MIN(F28,ASSUMPTIONS!$C$39)-ASSUMPTIONS!$C$38),IF(G28="Full Salary",D28,F28))</f>
        <v/>
      </c>
      <c r="I28" s="56">
        <f>IF(EMPLOYEE_DATA!M27="Y",EMPLOYEE_DATA!K27,ASSUMPTIONS!$C$46)</f>
        <v/>
      </c>
      <c r="J28" s="56">
        <f>IF(EMPLOYEE_DATA!M27="Y",EMPLOYEE_DATA!L27,ASSUMPTIONS!$C$47)</f>
        <v/>
      </c>
      <c r="K28" s="54">
        <f>IF(AND(EMPLOYEE_DATA!N27="Y",ASSUMPTIONS!$C$62="On"),"Yes","No")</f>
        <v/>
      </c>
      <c r="L28" s="57">
        <f>F28</f>
        <v/>
      </c>
      <c r="M28" s="57">
        <f>MAX(0,IF(L28&lt;=ASSUMPTIONS!$C$18,ASSUMPTIONS!$C$15,ASSUMPTIONS!$C$15-INT((L28-ASSUMPTIONS!$C$18)/2)))</f>
        <v/>
      </c>
      <c r="N28" s="57">
        <f>MAX(0,L28-M28)</f>
        <v/>
      </c>
      <c r="O28" s="57">
        <f>MAX(0,MIN(N28,MAX(0,ASSUMPTIONS!$C$16-M28))*ASSUMPTIONS!$E$15+MAX(0,MIN(N28,ASSUMPTIONS!$C$17-M28)-MAX(0,ASSUMPTIONS!$C$16-M28))*ASSUMPTIONS!$E$16+MAX(0,N28-MAX(0,ASSUMPTIONS!$C$17-M28))*ASSUMPTIONS!$E$17)</f>
        <v/>
      </c>
      <c r="P28" s="57">
        <f>MAX(0,MIN(L28,TAX_NI_TABLES!$D$7)-TAX_NI_TABLES!$D$6)*ASSUMPTIONS!$E$25+MAX(0,L28-TAX_NI_TABLES!$D$7)*ASSUMPTIONS!$E$26</f>
        <v/>
      </c>
      <c r="Q28" s="57">
        <f>H28*I28</f>
        <v/>
      </c>
      <c r="R28" s="58">
        <f>L28-O28-P28-Q28</f>
        <v/>
      </c>
      <c r="S28" s="57">
        <f>H28*J28</f>
        <v/>
      </c>
      <c r="T28" s="57">
        <f>MAX(0,L28-TAX_NI_TABLES!$D$8)*ASSUMPTIONS!$E$32</f>
        <v/>
      </c>
      <c r="U28" s="58">
        <f>L28+S28+T28</f>
        <v/>
      </c>
      <c r="V28" s="59">
        <f>IF(K28="Yes",H28*I28,0)</f>
        <v/>
      </c>
      <c r="W28" s="60">
        <f>L28-V28</f>
        <v/>
      </c>
      <c r="X28" s="59">
        <f>MAX(0,IF(W28&lt;=ASSUMPTIONS!$C$18,ASSUMPTIONS!$C$15,ASSUMPTIONS!$C$15-INT((W28-ASSUMPTIONS!$C$18)/2)))</f>
        <v/>
      </c>
      <c r="Y28" s="59">
        <f>MAX(0,W28-X28)</f>
        <v/>
      </c>
      <c r="Z28" s="59">
        <f>MAX(0,MIN(Y28,MAX(0,ASSUMPTIONS!$C$16-X28))*ASSUMPTIONS!$E$15+MAX(0,MIN(Y28,ASSUMPTIONS!$C$17-X28)-MAX(0,ASSUMPTIONS!$C$16-X28))*ASSUMPTIONS!$E$16+MAX(0,Y28-MAX(0,ASSUMPTIONS!$C$17-X28))*ASSUMPTIONS!$E$17)</f>
        <v/>
      </c>
      <c r="AA28" s="59">
        <f>MAX(0,MIN(W28,TAX_NI_TABLES!$D$7)-TAX_NI_TABLES!$D$6)*ASSUMPTIONS!$E$25+MAX(0,W28-TAX_NI_TABLES!$D$7)*ASSUMPTIONS!$E$26</f>
        <v/>
      </c>
      <c r="AB28" s="59">
        <f>V28</f>
        <v/>
      </c>
      <c r="AC28" s="60">
        <f>W28-Z28-AA28+AG28</f>
        <v/>
      </c>
      <c r="AD28" s="59">
        <f>H28*J28+IF(ASSUMPTIONS!$C$53="Reinvest in Pension",AF28*ASSUMPTIONS!$C$55,0)</f>
        <v/>
      </c>
      <c r="AE28" s="59">
        <f>MAX(0,W28-TAX_NI_TABLES!$D$8)*ASSUMPTIONS!$E$32</f>
        <v/>
      </c>
      <c r="AF28" s="61">
        <f>MAX(0,T28-AE28)</f>
        <v/>
      </c>
      <c r="AG28" s="59">
        <f>IF(ASSUMPTIONS!$C$53="Share with Employees",AF28*ASSUMPTIONS!$C$55,0)</f>
        <v/>
      </c>
      <c r="AH28" s="59">
        <f>AF28-AG28</f>
        <v/>
      </c>
      <c r="AI28" s="60">
        <f>W28+AD28+AE28+AG28</f>
        <v/>
      </c>
      <c r="AJ28" s="32">
        <f>AC28-R28</f>
        <v/>
      </c>
      <c r="AK28" s="62">
        <f>IF(R28&lt;&gt;0,(AC28-R28)/R28,0)</f>
        <v/>
      </c>
      <c r="AL28" s="55">
        <f>AB28-Q28</f>
        <v/>
      </c>
      <c r="AM28" s="55">
        <f>AI28-U28</f>
        <v/>
      </c>
      <c r="AN28" s="32">
        <f>AH28</f>
        <v/>
      </c>
      <c r="AO28" s="32">
        <f>AB28+AD28</f>
        <v/>
      </c>
      <c r="AP28" s="55">
        <f>ASSUMPTIONS!$C$40-AO28</f>
        <v/>
      </c>
      <c r="AQ28" s="54">
        <f>IF(F28&lt;=ASSUMPTIONS!$C$15,"Personal Allowance",IF(F28&lt;=ASSUMPTIONS!$C$16,"Basic Rate",IF(F28&lt;=ASSUMPTIONS!$C$17,"Higher Rate","Additional Rate")))</f>
        <v/>
      </c>
      <c r="AR28" s="54">
        <f>IF(W28&lt;=ASSUMPTIONS!$C$15,"Personal Allowance",IF(W28&lt;=ASSUMPTIONS!$C$16,"Basic Rate",IF(W28&lt;=ASSUMPTIONS!$C$17,"Higher Rate","Additional Rate")))</f>
        <v/>
      </c>
      <c r="AS28" s="63">
        <f>IF(AP28&lt;0,"⚠ AA Breach!","")&amp;IF(V28&gt;F28,"⚠ Sacrifice&gt;Salary","")&amp;IF(AC28&lt;0,"⚠ Neg Take-Home","")</f>
        <v/>
      </c>
    </row>
    <row r="29" ht="24" customHeight="1">
      <c r="A29" s="78" t="inlineStr">
        <is>
          <t>COMPANY TOTALS</t>
        </is>
      </c>
      <c r="D29" s="79">
        <f>SUM(D4:D28)</f>
        <v/>
      </c>
      <c r="E29" s="79">
        <f>SUM(E4:E28)</f>
        <v/>
      </c>
      <c r="F29" s="79">
        <f>SUM(F4:F28)</f>
        <v/>
      </c>
      <c r="H29" s="79">
        <f>SUM(H4:H28)</f>
        <v/>
      </c>
      <c r="L29" s="79">
        <f>SUM(L4:L28)</f>
        <v/>
      </c>
      <c r="O29" s="79">
        <f>SUM(O4:O28)</f>
        <v/>
      </c>
      <c r="P29" s="79">
        <f>SUM(P4:P28)</f>
        <v/>
      </c>
      <c r="Q29" s="79">
        <f>SUM(Q4:Q28)</f>
        <v/>
      </c>
      <c r="R29" s="79">
        <f>SUM(R4:R28)</f>
        <v/>
      </c>
      <c r="S29" s="79">
        <f>SUM(S4:S28)</f>
        <v/>
      </c>
      <c r="T29" s="79">
        <f>SUM(T4:T28)</f>
        <v/>
      </c>
      <c r="U29" s="79">
        <f>SUM(U4:U28)</f>
        <v/>
      </c>
      <c r="V29" s="79">
        <f>SUM(V4:V28)</f>
        <v/>
      </c>
      <c r="W29" s="79">
        <f>SUM(W4:W28)</f>
        <v/>
      </c>
      <c r="Z29" s="79">
        <f>SUM(Z4:Z28)</f>
        <v/>
      </c>
      <c r="AA29" s="79">
        <f>SUM(AA4:AA28)</f>
        <v/>
      </c>
      <c r="AB29" s="79">
        <f>SUM(AB4:AB28)</f>
        <v/>
      </c>
      <c r="AC29" s="79">
        <f>SUM(AC4:AC28)</f>
        <v/>
      </c>
      <c r="AD29" s="79">
        <f>SUM(AD4:AD28)</f>
        <v/>
      </c>
      <c r="AE29" s="79">
        <f>SUM(AE4:AE28)</f>
        <v/>
      </c>
      <c r="AF29" s="79">
        <f>SUM(AF4:AF28)</f>
        <v/>
      </c>
      <c r="AG29" s="79">
        <f>SUM(AG4:AG28)</f>
        <v/>
      </c>
      <c r="AH29" s="79">
        <f>SUM(AH4:AH28)</f>
        <v/>
      </c>
      <c r="AI29" s="79">
        <f>SUM(AI4:AI28)</f>
        <v/>
      </c>
      <c r="AJ29" s="79">
        <f>SUM(AJ4:AJ28)</f>
        <v/>
      </c>
      <c r="AK29" s="80">
        <f>IFERROR(SUM(AJ4:AJ28)/SUM(R4:R28),0)</f>
        <v/>
      </c>
      <c r="AL29" s="79">
        <f>SUM(AL4:AL28)</f>
        <v/>
      </c>
      <c r="AM29" s="79">
        <f>SUM(AM4:AM28)</f>
        <v/>
      </c>
      <c r="AN29" s="79">
        <f>SUM(AN4:AN28)</f>
        <v/>
      </c>
      <c r="AO29" s="79">
        <f>SUM(AO4:AO28)</f>
        <v/>
      </c>
    </row>
  </sheetData>
  <mergeCells count="8">
    <mergeCell ref="D2:F2"/>
    <mergeCell ref="A1:AS1"/>
    <mergeCell ref="AJ2:AR2"/>
    <mergeCell ref="G2:K2"/>
    <mergeCell ref="V2:AI2"/>
    <mergeCell ref="L2:U2"/>
    <mergeCell ref="A29:C29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3" customWidth="1" min="4" max="4"/>
    <col width="13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  <col width="15" customWidth="1" min="13" max="13"/>
    <col width="13" customWidth="1" min="14" max="14"/>
    <col width="13" customWidth="1" min="15" max="15"/>
    <col width="13" customWidth="1" min="16" max="16"/>
    <col width="12" customWidth="1" min="17" max="17"/>
    <col width="12" customWidth="1" min="18" max="18"/>
    <col width="13" customWidth="1" min="19" max="19"/>
    <col width="14" customWidth="1" min="20" max="20"/>
    <col width="16" customWidth="1" min="21" max="21"/>
    <col width="14" customWidth="1" min="22" max="22"/>
    <col width="16" customWidth="1" min="23" max="23"/>
  </cols>
  <sheetData>
    <row r="1" ht="36" customHeight="1">
      <c r="A1" s="81" t="inlineStr">
        <is>
          <t>EMPLOYEE IMPACT ANALYSIS — Per Employee View of Salary Sacrifice Benefits</t>
        </is>
      </c>
    </row>
    <row r="3" ht="44" customHeight="1">
      <c r="A3" s="82" t="inlineStr">
        <is>
          <t>Emp ID</t>
        </is>
      </c>
      <c r="B3" s="82" t="inlineStr">
        <is>
          <t>Name</t>
        </is>
      </c>
      <c r="C3" s="82" t="inlineStr">
        <is>
          <t>Department</t>
        </is>
      </c>
      <c r="D3" s="82" t="inlineStr">
        <is>
          <t>Tax Band (Pre)</t>
        </is>
      </c>
      <c r="E3" s="82" t="inlineStr">
        <is>
          <t>Tax Band (Post)</t>
        </is>
      </c>
      <c r="F3" s="82" t="inlineStr">
        <is>
          <t>Basic Salary £</t>
        </is>
      </c>
      <c r="G3" s="82" t="inlineStr">
        <is>
          <t>Take-Home Pre £</t>
        </is>
      </c>
      <c r="H3" s="82" t="inlineStr">
        <is>
          <t>Take-Home Post £</t>
        </is>
      </c>
      <c r="I3" s="83" t="inlineStr">
        <is>
          <t>Take-Home Change £</t>
        </is>
      </c>
      <c r="J3" s="83" t="inlineStr">
        <is>
          <t>Take-Home Chg %</t>
        </is>
      </c>
      <c r="K3" s="82" t="inlineStr">
        <is>
          <t>EE Pension Pre £</t>
        </is>
      </c>
      <c r="L3" s="82" t="inlineStr">
        <is>
          <t>EE Pension Post £</t>
        </is>
      </c>
      <c r="M3" s="83" t="inlineStr">
        <is>
          <t>EE Pension Change £</t>
        </is>
      </c>
      <c r="N3" s="82" t="inlineStr">
        <is>
          <t>PAYE Tax Pre £</t>
        </is>
      </c>
      <c r="O3" s="82" t="inlineStr">
        <is>
          <t>PAYE Tax Post £</t>
        </is>
      </c>
      <c r="P3" s="83" t="inlineStr">
        <is>
          <t>Tax Saving £</t>
        </is>
      </c>
      <c r="Q3" s="82" t="inlineStr">
        <is>
          <t>EE NI Pre £</t>
        </is>
      </c>
      <c r="R3" s="82" t="inlineStr">
        <is>
          <t>EE NI Post £</t>
        </is>
      </c>
      <c r="S3" s="83" t="inlineStr">
        <is>
          <t>EE NI Saving £</t>
        </is>
      </c>
      <c r="T3" s="83" t="inlineStr">
        <is>
          <t>NI Share from ER £</t>
        </is>
      </c>
      <c r="U3" s="82" t="inlineStr">
        <is>
          <t>Total Pension £
(EE+ER Post)</t>
        </is>
      </c>
      <c r="V3" s="82" t="inlineStr">
        <is>
          <t>AA Remaining £</t>
        </is>
      </c>
      <c r="W3" s="83" t="inlineStr">
        <is>
          <t>Net Benefit £
(vs Pre)</t>
        </is>
      </c>
    </row>
    <row r="4" ht="18" customHeight="1">
      <c r="A4" s="51">
        <f>CALC_ENGINE!A4</f>
        <v/>
      </c>
      <c r="B4" s="51">
        <f>CALC_ENGINE!B4</f>
        <v/>
      </c>
      <c r="C4" s="51">
        <f>CALC_ENGINE!C4</f>
        <v/>
      </c>
      <c r="D4" s="84">
        <f>CALC_ENGINE!AQ4</f>
        <v/>
      </c>
      <c r="E4" s="84">
        <f>CALC_ENGINE!AR4</f>
        <v/>
      </c>
      <c r="F4" s="52">
        <f>CALC_ENGINE!D4</f>
        <v/>
      </c>
      <c r="G4" s="53">
        <f>CALC_ENGINE!R4</f>
        <v/>
      </c>
      <c r="H4" s="53">
        <f>CALC_ENGINE!AC4</f>
        <v/>
      </c>
      <c r="I4" s="58">
        <f>CALC_ENGINE!AJ4</f>
        <v/>
      </c>
      <c r="J4" s="85">
        <f>CALC_ENGINE!AK4</f>
        <v/>
      </c>
      <c r="K4" s="52">
        <f>CALC_ENGINE!Q4</f>
        <v/>
      </c>
      <c r="L4" s="52">
        <f>CALC_ENGINE!AB4</f>
        <v/>
      </c>
      <c r="M4" s="58">
        <f>CALC_ENGINE!AL4</f>
        <v/>
      </c>
      <c r="N4" s="52">
        <f>CALC_ENGINE!O4</f>
        <v/>
      </c>
      <c r="O4" s="52">
        <f>CALC_ENGINE!Z4</f>
        <v/>
      </c>
      <c r="P4" s="58">
        <f>CALC_ENGINE!O4-CALC_ENGINE!Z4</f>
        <v/>
      </c>
      <c r="Q4" s="52">
        <f>CALC_ENGINE!P4</f>
        <v/>
      </c>
      <c r="R4" s="52">
        <f>CALC_ENGINE!AA4</f>
        <v/>
      </c>
      <c r="S4" s="58">
        <f>CALC_ENGINE!P4-CALC_ENGINE!AA4</f>
        <v/>
      </c>
      <c r="T4" s="58">
        <f>CALC_ENGINE!AG4</f>
        <v/>
      </c>
      <c r="U4" s="58">
        <f>CALC_ENGINE!AO4</f>
        <v/>
      </c>
      <c r="V4" s="58">
        <f>CALC_ENGINE!AP4</f>
        <v/>
      </c>
      <c r="W4" s="86">
        <f>CALC_ENGINE!AJ4+CALC_ENGINE!AL4+CALC_ENGINE!AG4</f>
        <v/>
      </c>
    </row>
    <row r="5" ht="18" customHeight="1">
      <c r="A5" s="64">
        <f>CALC_ENGINE!A5</f>
        <v/>
      </c>
      <c r="B5" s="64">
        <f>CALC_ENGINE!B5</f>
        <v/>
      </c>
      <c r="C5" s="64">
        <f>CALC_ENGINE!C5</f>
        <v/>
      </c>
      <c r="D5" s="87">
        <f>CALC_ENGINE!AQ5</f>
        <v/>
      </c>
      <c r="E5" s="87">
        <f>CALC_ENGINE!AR5</f>
        <v/>
      </c>
      <c r="F5" s="65">
        <f>CALC_ENGINE!D5</f>
        <v/>
      </c>
      <c r="G5" s="66">
        <f>CALC_ENGINE!R5</f>
        <v/>
      </c>
      <c r="H5" s="66">
        <f>CALC_ENGINE!AC5</f>
        <v/>
      </c>
      <c r="I5" s="69">
        <f>CALC_ENGINE!AJ5</f>
        <v/>
      </c>
      <c r="J5" s="88">
        <f>CALC_ENGINE!AK5</f>
        <v/>
      </c>
      <c r="K5" s="65">
        <f>CALC_ENGINE!Q5</f>
        <v/>
      </c>
      <c r="L5" s="65">
        <f>CALC_ENGINE!AB5</f>
        <v/>
      </c>
      <c r="M5" s="69">
        <f>CALC_ENGINE!AL5</f>
        <v/>
      </c>
      <c r="N5" s="65">
        <f>CALC_ENGINE!O5</f>
        <v/>
      </c>
      <c r="O5" s="65">
        <f>CALC_ENGINE!Z5</f>
        <v/>
      </c>
      <c r="P5" s="69">
        <f>CALC_ENGINE!O5-CALC_ENGINE!Z5</f>
        <v/>
      </c>
      <c r="Q5" s="65">
        <f>CALC_ENGINE!P5</f>
        <v/>
      </c>
      <c r="R5" s="65">
        <f>CALC_ENGINE!AA5</f>
        <v/>
      </c>
      <c r="S5" s="69">
        <f>CALC_ENGINE!P5-CALC_ENGINE!AA5</f>
        <v/>
      </c>
      <c r="T5" s="69">
        <f>CALC_ENGINE!AG5</f>
        <v/>
      </c>
      <c r="U5" s="69">
        <f>CALC_ENGINE!AO5</f>
        <v/>
      </c>
      <c r="V5" s="69">
        <f>CALC_ENGINE!AP5</f>
        <v/>
      </c>
      <c r="W5" s="89">
        <f>CALC_ENGINE!AJ5+CALC_ENGINE!AL5+CALC_ENGINE!AG5</f>
        <v/>
      </c>
    </row>
    <row r="6" ht="18" customHeight="1">
      <c r="A6" s="51">
        <f>CALC_ENGINE!A6</f>
        <v/>
      </c>
      <c r="B6" s="51">
        <f>CALC_ENGINE!B6</f>
        <v/>
      </c>
      <c r="C6" s="51">
        <f>CALC_ENGINE!C6</f>
        <v/>
      </c>
      <c r="D6" s="84">
        <f>CALC_ENGINE!AQ6</f>
        <v/>
      </c>
      <c r="E6" s="84">
        <f>CALC_ENGINE!AR6</f>
        <v/>
      </c>
      <c r="F6" s="52">
        <f>CALC_ENGINE!D6</f>
        <v/>
      </c>
      <c r="G6" s="53">
        <f>CALC_ENGINE!R6</f>
        <v/>
      </c>
      <c r="H6" s="53">
        <f>CALC_ENGINE!AC6</f>
        <v/>
      </c>
      <c r="I6" s="58">
        <f>CALC_ENGINE!AJ6</f>
        <v/>
      </c>
      <c r="J6" s="85">
        <f>CALC_ENGINE!AK6</f>
        <v/>
      </c>
      <c r="K6" s="52">
        <f>CALC_ENGINE!Q6</f>
        <v/>
      </c>
      <c r="L6" s="52">
        <f>CALC_ENGINE!AB6</f>
        <v/>
      </c>
      <c r="M6" s="58">
        <f>CALC_ENGINE!AL6</f>
        <v/>
      </c>
      <c r="N6" s="52">
        <f>CALC_ENGINE!O6</f>
        <v/>
      </c>
      <c r="O6" s="52">
        <f>CALC_ENGINE!Z6</f>
        <v/>
      </c>
      <c r="P6" s="58">
        <f>CALC_ENGINE!O6-CALC_ENGINE!Z6</f>
        <v/>
      </c>
      <c r="Q6" s="52">
        <f>CALC_ENGINE!P6</f>
        <v/>
      </c>
      <c r="R6" s="52">
        <f>CALC_ENGINE!AA6</f>
        <v/>
      </c>
      <c r="S6" s="58">
        <f>CALC_ENGINE!P6-CALC_ENGINE!AA6</f>
        <v/>
      </c>
      <c r="T6" s="58">
        <f>CALC_ENGINE!AG6</f>
        <v/>
      </c>
      <c r="U6" s="58">
        <f>CALC_ENGINE!AO6</f>
        <v/>
      </c>
      <c r="V6" s="58">
        <f>CALC_ENGINE!AP6</f>
        <v/>
      </c>
      <c r="W6" s="86">
        <f>CALC_ENGINE!AJ6+CALC_ENGINE!AL6+CALC_ENGINE!AG6</f>
        <v/>
      </c>
    </row>
    <row r="7" ht="18" customHeight="1">
      <c r="A7" s="64">
        <f>CALC_ENGINE!A7</f>
        <v/>
      </c>
      <c r="B7" s="64">
        <f>CALC_ENGINE!B7</f>
        <v/>
      </c>
      <c r="C7" s="64">
        <f>CALC_ENGINE!C7</f>
        <v/>
      </c>
      <c r="D7" s="87">
        <f>CALC_ENGINE!AQ7</f>
        <v/>
      </c>
      <c r="E7" s="87">
        <f>CALC_ENGINE!AR7</f>
        <v/>
      </c>
      <c r="F7" s="65">
        <f>CALC_ENGINE!D7</f>
        <v/>
      </c>
      <c r="G7" s="66">
        <f>CALC_ENGINE!R7</f>
        <v/>
      </c>
      <c r="H7" s="66">
        <f>CALC_ENGINE!AC7</f>
        <v/>
      </c>
      <c r="I7" s="69">
        <f>CALC_ENGINE!AJ7</f>
        <v/>
      </c>
      <c r="J7" s="88">
        <f>CALC_ENGINE!AK7</f>
        <v/>
      </c>
      <c r="K7" s="65">
        <f>CALC_ENGINE!Q7</f>
        <v/>
      </c>
      <c r="L7" s="65">
        <f>CALC_ENGINE!AB7</f>
        <v/>
      </c>
      <c r="M7" s="69">
        <f>CALC_ENGINE!AL7</f>
        <v/>
      </c>
      <c r="N7" s="65">
        <f>CALC_ENGINE!O7</f>
        <v/>
      </c>
      <c r="O7" s="65">
        <f>CALC_ENGINE!Z7</f>
        <v/>
      </c>
      <c r="P7" s="69">
        <f>CALC_ENGINE!O7-CALC_ENGINE!Z7</f>
        <v/>
      </c>
      <c r="Q7" s="65">
        <f>CALC_ENGINE!P7</f>
        <v/>
      </c>
      <c r="R7" s="65">
        <f>CALC_ENGINE!AA7</f>
        <v/>
      </c>
      <c r="S7" s="69">
        <f>CALC_ENGINE!P7-CALC_ENGINE!AA7</f>
        <v/>
      </c>
      <c r="T7" s="69">
        <f>CALC_ENGINE!AG7</f>
        <v/>
      </c>
      <c r="U7" s="69">
        <f>CALC_ENGINE!AO7</f>
        <v/>
      </c>
      <c r="V7" s="69">
        <f>CALC_ENGINE!AP7</f>
        <v/>
      </c>
      <c r="W7" s="89">
        <f>CALC_ENGINE!AJ7+CALC_ENGINE!AL7+CALC_ENGINE!AG7</f>
        <v/>
      </c>
    </row>
    <row r="8" ht="18" customHeight="1">
      <c r="A8" s="51">
        <f>CALC_ENGINE!A8</f>
        <v/>
      </c>
      <c r="B8" s="51">
        <f>CALC_ENGINE!B8</f>
        <v/>
      </c>
      <c r="C8" s="51">
        <f>CALC_ENGINE!C8</f>
        <v/>
      </c>
      <c r="D8" s="84">
        <f>CALC_ENGINE!AQ8</f>
        <v/>
      </c>
      <c r="E8" s="84">
        <f>CALC_ENGINE!AR8</f>
        <v/>
      </c>
      <c r="F8" s="52">
        <f>CALC_ENGINE!D8</f>
        <v/>
      </c>
      <c r="G8" s="53">
        <f>CALC_ENGINE!R8</f>
        <v/>
      </c>
      <c r="H8" s="53">
        <f>CALC_ENGINE!AC8</f>
        <v/>
      </c>
      <c r="I8" s="58">
        <f>CALC_ENGINE!AJ8</f>
        <v/>
      </c>
      <c r="J8" s="85">
        <f>CALC_ENGINE!AK8</f>
        <v/>
      </c>
      <c r="K8" s="52">
        <f>CALC_ENGINE!Q8</f>
        <v/>
      </c>
      <c r="L8" s="52">
        <f>CALC_ENGINE!AB8</f>
        <v/>
      </c>
      <c r="M8" s="58">
        <f>CALC_ENGINE!AL8</f>
        <v/>
      </c>
      <c r="N8" s="52">
        <f>CALC_ENGINE!O8</f>
        <v/>
      </c>
      <c r="O8" s="52">
        <f>CALC_ENGINE!Z8</f>
        <v/>
      </c>
      <c r="P8" s="58">
        <f>CALC_ENGINE!O8-CALC_ENGINE!Z8</f>
        <v/>
      </c>
      <c r="Q8" s="52">
        <f>CALC_ENGINE!P8</f>
        <v/>
      </c>
      <c r="R8" s="52">
        <f>CALC_ENGINE!AA8</f>
        <v/>
      </c>
      <c r="S8" s="58">
        <f>CALC_ENGINE!P8-CALC_ENGINE!AA8</f>
        <v/>
      </c>
      <c r="T8" s="58">
        <f>CALC_ENGINE!AG8</f>
        <v/>
      </c>
      <c r="U8" s="58">
        <f>CALC_ENGINE!AO8</f>
        <v/>
      </c>
      <c r="V8" s="58">
        <f>CALC_ENGINE!AP8</f>
        <v/>
      </c>
      <c r="W8" s="86">
        <f>CALC_ENGINE!AJ8+CALC_ENGINE!AL8+CALC_ENGINE!AG8</f>
        <v/>
      </c>
    </row>
    <row r="9" ht="18" customHeight="1">
      <c r="A9" s="64">
        <f>CALC_ENGINE!A9</f>
        <v/>
      </c>
      <c r="B9" s="64">
        <f>CALC_ENGINE!B9</f>
        <v/>
      </c>
      <c r="C9" s="64">
        <f>CALC_ENGINE!C9</f>
        <v/>
      </c>
      <c r="D9" s="87">
        <f>CALC_ENGINE!AQ9</f>
        <v/>
      </c>
      <c r="E9" s="87">
        <f>CALC_ENGINE!AR9</f>
        <v/>
      </c>
      <c r="F9" s="65">
        <f>CALC_ENGINE!D9</f>
        <v/>
      </c>
      <c r="G9" s="66">
        <f>CALC_ENGINE!R9</f>
        <v/>
      </c>
      <c r="H9" s="66">
        <f>CALC_ENGINE!AC9</f>
        <v/>
      </c>
      <c r="I9" s="69">
        <f>CALC_ENGINE!AJ9</f>
        <v/>
      </c>
      <c r="J9" s="88">
        <f>CALC_ENGINE!AK9</f>
        <v/>
      </c>
      <c r="K9" s="65">
        <f>CALC_ENGINE!Q9</f>
        <v/>
      </c>
      <c r="L9" s="65">
        <f>CALC_ENGINE!AB9</f>
        <v/>
      </c>
      <c r="M9" s="69">
        <f>CALC_ENGINE!AL9</f>
        <v/>
      </c>
      <c r="N9" s="65">
        <f>CALC_ENGINE!O9</f>
        <v/>
      </c>
      <c r="O9" s="65">
        <f>CALC_ENGINE!Z9</f>
        <v/>
      </c>
      <c r="P9" s="69">
        <f>CALC_ENGINE!O9-CALC_ENGINE!Z9</f>
        <v/>
      </c>
      <c r="Q9" s="65">
        <f>CALC_ENGINE!P9</f>
        <v/>
      </c>
      <c r="R9" s="65">
        <f>CALC_ENGINE!AA9</f>
        <v/>
      </c>
      <c r="S9" s="69">
        <f>CALC_ENGINE!P9-CALC_ENGINE!AA9</f>
        <v/>
      </c>
      <c r="T9" s="69">
        <f>CALC_ENGINE!AG9</f>
        <v/>
      </c>
      <c r="U9" s="69">
        <f>CALC_ENGINE!AO9</f>
        <v/>
      </c>
      <c r="V9" s="69">
        <f>CALC_ENGINE!AP9</f>
        <v/>
      </c>
      <c r="W9" s="89">
        <f>CALC_ENGINE!AJ9+CALC_ENGINE!AL9+CALC_ENGINE!AG9</f>
        <v/>
      </c>
    </row>
    <row r="10" ht="18" customHeight="1">
      <c r="A10" s="51">
        <f>CALC_ENGINE!A10</f>
        <v/>
      </c>
      <c r="B10" s="51">
        <f>CALC_ENGINE!B10</f>
        <v/>
      </c>
      <c r="C10" s="51">
        <f>CALC_ENGINE!C10</f>
        <v/>
      </c>
      <c r="D10" s="84">
        <f>CALC_ENGINE!AQ10</f>
        <v/>
      </c>
      <c r="E10" s="84">
        <f>CALC_ENGINE!AR10</f>
        <v/>
      </c>
      <c r="F10" s="52">
        <f>CALC_ENGINE!D10</f>
        <v/>
      </c>
      <c r="G10" s="53">
        <f>CALC_ENGINE!R10</f>
        <v/>
      </c>
      <c r="H10" s="53">
        <f>CALC_ENGINE!AC10</f>
        <v/>
      </c>
      <c r="I10" s="58">
        <f>CALC_ENGINE!AJ10</f>
        <v/>
      </c>
      <c r="J10" s="85">
        <f>CALC_ENGINE!AK10</f>
        <v/>
      </c>
      <c r="K10" s="52">
        <f>CALC_ENGINE!Q10</f>
        <v/>
      </c>
      <c r="L10" s="52">
        <f>CALC_ENGINE!AB10</f>
        <v/>
      </c>
      <c r="M10" s="58">
        <f>CALC_ENGINE!AL10</f>
        <v/>
      </c>
      <c r="N10" s="52">
        <f>CALC_ENGINE!O10</f>
        <v/>
      </c>
      <c r="O10" s="52">
        <f>CALC_ENGINE!Z10</f>
        <v/>
      </c>
      <c r="P10" s="58">
        <f>CALC_ENGINE!O10-CALC_ENGINE!Z10</f>
        <v/>
      </c>
      <c r="Q10" s="52">
        <f>CALC_ENGINE!P10</f>
        <v/>
      </c>
      <c r="R10" s="52">
        <f>CALC_ENGINE!AA10</f>
        <v/>
      </c>
      <c r="S10" s="58">
        <f>CALC_ENGINE!P10-CALC_ENGINE!AA10</f>
        <v/>
      </c>
      <c r="T10" s="58">
        <f>CALC_ENGINE!AG10</f>
        <v/>
      </c>
      <c r="U10" s="58">
        <f>CALC_ENGINE!AO10</f>
        <v/>
      </c>
      <c r="V10" s="58">
        <f>CALC_ENGINE!AP10</f>
        <v/>
      </c>
      <c r="W10" s="86">
        <f>CALC_ENGINE!AJ10+CALC_ENGINE!AL10+CALC_ENGINE!AG10</f>
        <v/>
      </c>
    </row>
    <row r="11" ht="18" customHeight="1">
      <c r="A11" s="64">
        <f>CALC_ENGINE!A11</f>
        <v/>
      </c>
      <c r="B11" s="64">
        <f>CALC_ENGINE!B11</f>
        <v/>
      </c>
      <c r="C11" s="64">
        <f>CALC_ENGINE!C11</f>
        <v/>
      </c>
      <c r="D11" s="87">
        <f>CALC_ENGINE!AQ11</f>
        <v/>
      </c>
      <c r="E11" s="87">
        <f>CALC_ENGINE!AR11</f>
        <v/>
      </c>
      <c r="F11" s="65">
        <f>CALC_ENGINE!D11</f>
        <v/>
      </c>
      <c r="G11" s="66">
        <f>CALC_ENGINE!R11</f>
        <v/>
      </c>
      <c r="H11" s="66">
        <f>CALC_ENGINE!AC11</f>
        <v/>
      </c>
      <c r="I11" s="69">
        <f>CALC_ENGINE!AJ11</f>
        <v/>
      </c>
      <c r="J11" s="88">
        <f>CALC_ENGINE!AK11</f>
        <v/>
      </c>
      <c r="K11" s="65">
        <f>CALC_ENGINE!Q11</f>
        <v/>
      </c>
      <c r="L11" s="65">
        <f>CALC_ENGINE!AB11</f>
        <v/>
      </c>
      <c r="M11" s="69">
        <f>CALC_ENGINE!AL11</f>
        <v/>
      </c>
      <c r="N11" s="65">
        <f>CALC_ENGINE!O11</f>
        <v/>
      </c>
      <c r="O11" s="65">
        <f>CALC_ENGINE!Z11</f>
        <v/>
      </c>
      <c r="P11" s="69">
        <f>CALC_ENGINE!O11-CALC_ENGINE!Z11</f>
        <v/>
      </c>
      <c r="Q11" s="65">
        <f>CALC_ENGINE!P11</f>
        <v/>
      </c>
      <c r="R11" s="65">
        <f>CALC_ENGINE!AA11</f>
        <v/>
      </c>
      <c r="S11" s="69">
        <f>CALC_ENGINE!P11-CALC_ENGINE!AA11</f>
        <v/>
      </c>
      <c r="T11" s="69">
        <f>CALC_ENGINE!AG11</f>
        <v/>
      </c>
      <c r="U11" s="69">
        <f>CALC_ENGINE!AO11</f>
        <v/>
      </c>
      <c r="V11" s="69">
        <f>CALC_ENGINE!AP11</f>
        <v/>
      </c>
      <c r="W11" s="89">
        <f>CALC_ENGINE!AJ11+CALC_ENGINE!AL11+CALC_ENGINE!AG11</f>
        <v/>
      </c>
    </row>
    <row r="12" ht="18" customHeight="1">
      <c r="A12" s="51">
        <f>CALC_ENGINE!A12</f>
        <v/>
      </c>
      <c r="B12" s="51">
        <f>CALC_ENGINE!B12</f>
        <v/>
      </c>
      <c r="C12" s="51">
        <f>CALC_ENGINE!C12</f>
        <v/>
      </c>
      <c r="D12" s="84">
        <f>CALC_ENGINE!AQ12</f>
        <v/>
      </c>
      <c r="E12" s="84">
        <f>CALC_ENGINE!AR12</f>
        <v/>
      </c>
      <c r="F12" s="52">
        <f>CALC_ENGINE!D12</f>
        <v/>
      </c>
      <c r="G12" s="53">
        <f>CALC_ENGINE!R12</f>
        <v/>
      </c>
      <c r="H12" s="53">
        <f>CALC_ENGINE!AC12</f>
        <v/>
      </c>
      <c r="I12" s="58">
        <f>CALC_ENGINE!AJ12</f>
        <v/>
      </c>
      <c r="J12" s="85">
        <f>CALC_ENGINE!AK12</f>
        <v/>
      </c>
      <c r="K12" s="52">
        <f>CALC_ENGINE!Q12</f>
        <v/>
      </c>
      <c r="L12" s="52">
        <f>CALC_ENGINE!AB12</f>
        <v/>
      </c>
      <c r="M12" s="58">
        <f>CALC_ENGINE!AL12</f>
        <v/>
      </c>
      <c r="N12" s="52">
        <f>CALC_ENGINE!O12</f>
        <v/>
      </c>
      <c r="O12" s="52">
        <f>CALC_ENGINE!Z12</f>
        <v/>
      </c>
      <c r="P12" s="58">
        <f>CALC_ENGINE!O12-CALC_ENGINE!Z12</f>
        <v/>
      </c>
      <c r="Q12" s="52">
        <f>CALC_ENGINE!P12</f>
        <v/>
      </c>
      <c r="R12" s="52">
        <f>CALC_ENGINE!AA12</f>
        <v/>
      </c>
      <c r="S12" s="58">
        <f>CALC_ENGINE!P12-CALC_ENGINE!AA12</f>
        <v/>
      </c>
      <c r="T12" s="58">
        <f>CALC_ENGINE!AG12</f>
        <v/>
      </c>
      <c r="U12" s="58">
        <f>CALC_ENGINE!AO12</f>
        <v/>
      </c>
      <c r="V12" s="58">
        <f>CALC_ENGINE!AP12</f>
        <v/>
      </c>
      <c r="W12" s="86">
        <f>CALC_ENGINE!AJ12+CALC_ENGINE!AL12+CALC_ENGINE!AG12</f>
        <v/>
      </c>
    </row>
    <row r="13" ht="18" customHeight="1">
      <c r="A13" s="64">
        <f>CALC_ENGINE!A13</f>
        <v/>
      </c>
      <c r="B13" s="64">
        <f>CALC_ENGINE!B13</f>
        <v/>
      </c>
      <c r="C13" s="64">
        <f>CALC_ENGINE!C13</f>
        <v/>
      </c>
      <c r="D13" s="87">
        <f>CALC_ENGINE!AQ13</f>
        <v/>
      </c>
      <c r="E13" s="87">
        <f>CALC_ENGINE!AR13</f>
        <v/>
      </c>
      <c r="F13" s="65">
        <f>CALC_ENGINE!D13</f>
        <v/>
      </c>
      <c r="G13" s="66">
        <f>CALC_ENGINE!R13</f>
        <v/>
      </c>
      <c r="H13" s="66">
        <f>CALC_ENGINE!AC13</f>
        <v/>
      </c>
      <c r="I13" s="69">
        <f>CALC_ENGINE!AJ13</f>
        <v/>
      </c>
      <c r="J13" s="88">
        <f>CALC_ENGINE!AK13</f>
        <v/>
      </c>
      <c r="K13" s="65">
        <f>CALC_ENGINE!Q13</f>
        <v/>
      </c>
      <c r="L13" s="65">
        <f>CALC_ENGINE!AB13</f>
        <v/>
      </c>
      <c r="M13" s="69">
        <f>CALC_ENGINE!AL13</f>
        <v/>
      </c>
      <c r="N13" s="65">
        <f>CALC_ENGINE!O13</f>
        <v/>
      </c>
      <c r="O13" s="65">
        <f>CALC_ENGINE!Z13</f>
        <v/>
      </c>
      <c r="P13" s="69">
        <f>CALC_ENGINE!O13-CALC_ENGINE!Z13</f>
        <v/>
      </c>
      <c r="Q13" s="65">
        <f>CALC_ENGINE!P13</f>
        <v/>
      </c>
      <c r="R13" s="65">
        <f>CALC_ENGINE!AA13</f>
        <v/>
      </c>
      <c r="S13" s="69">
        <f>CALC_ENGINE!P13-CALC_ENGINE!AA13</f>
        <v/>
      </c>
      <c r="T13" s="69">
        <f>CALC_ENGINE!AG13</f>
        <v/>
      </c>
      <c r="U13" s="69">
        <f>CALC_ENGINE!AO13</f>
        <v/>
      </c>
      <c r="V13" s="69">
        <f>CALC_ENGINE!AP13</f>
        <v/>
      </c>
      <c r="W13" s="89">
        <f>CALC_ENGINE!AJ13+CALC_ENGINE!AL13+CALC_ENGINE!AG13</f>
        <v/>
      </c>
    </row>
    <row r="14" ht="18" customHeight="1">
      <c r="A14" s="51">
        <f>CALC_ENGINE!A14</f>
        <v/>
      </c>
      <c r="B14" s="51">
        <f>CALC_ENGINE!B14</f>
        <v/>
      </c>
      <c r="C14" s="51">
        <f>CALC_ENGINE!C14</f>
        <v/>
      </c>
      <c r="D14" s="84">
        <f>CALC_ENGINE!AQ14</f>
        <v/>
      </c>
      <c r="E14" s="84">
        <f>CALC_ENGINE!AR14</f>
        <v/>
      </c>
      <c r="F14" s="52">
        <f>CALC_ENGINE!D14</f>
        <v/>
      </c>
      <c r="G14" s="53">
        <f>CALC_ENGINE!R14</f>
        <v/>
      </c>
      <c r="H14" s="53">
        <f>CALC_ENGINE!AC14</f>
        <v/>
      </c>
      <c r="I14" s="58">
        <f>CALC_ENGINE!AJ14</f>
        <v/>
      </c>
      <c r="J14" s="85">
        <f>CALC_ENGINE!AK14</f>
        <v/>
      </c>
      <c r="K14" s="52">
        <f>CALC_ENGINE!Q14</f>
        <v/>
      </c>
      <c r="L14" s="52">
        <f>CALC_ENGINE!AB14</f>
        <v/>
      </c>
      <c r="M14" s="58">
        <f>CALC_ENGINE!AL14</f>
        <v/>
      </c>
      <c r="N14" s="52">
        <f>CALC_ENGINE!O14</f>
        <v/>
      </c>
      <c r="O14" s="52">
        <f>CALC_ENGINE!Z14</f>
        <v/>
      </c>
      <c r="P14" s="58">
        <f>CALC_ENGINE!O14-CALC_ENGINE!Z14</f>
        <v/>
      </c>
      <c r="Q14" s="52">
        <f>CALC_ENGINE!P14</f>
        <v/>
      </c>
      <c r="R14" s="52">
        <f>CALC_ENGINE!AA14</f>
        <v/>
      </c>
      <c r="S14" s="58">
        <f>CALC_ENGINE!P14-CALC_ENGINE!AA14</f>
        <v/>
      </c>
      <c r="T14" s="58">
        <f>CALC_ENGINE!AG14</f>
        <v/>
      </c>
      <c r="U14" s="58">
        <f>CALC_ENGINE!AO14</f>
        <v/>
      </c>
      <c r="V14" s="58">
        <f>CALC_ENGINE!AP14</f>
        <v/>
      </c>
      <c r="W14" s="86">
        <f>CALC_ENGINE!AJ14+CALC_ENGINE!AL14+CALC_ENGINE!AG14</f>
        <v/>
      </c>
    </row>
    <row r="15" ht="18" customHeight="1">
      <c r="A15" s="64">
        <f>CALC_ENGINE!A15</f>
        <v/>
      </c>
      <c r="B15" s="64">
        <f>CALC_ENGINE!B15</f>
        <v/>
      </c>
      <c r="C15" s="64">
        <f>CALC_ENGINE!C15</f>
        <v/>
      </c>
      <c r="D15" s="87">
        <f>CALC_ENGINE!AQ15</f>
        <v/>
      </c>
      <c r="E15" s="87">
        <f>CALC_ENGINE!AR15</f>
        <v/>
      </c>
      <c r="F15" s="65">
        <f>CALC_ENGINE!D15</f>
        <v/>
      </c>
      <c r="G15" s="66">
        <f>CALC_ENGINE!R15</f>
        <v/>
      </c>
      <c r="H15" s="66">
        <f>CALC_ENGINE!AC15</f>
        <v/>
      </c>
      <c r="I15" s="69">
        <f>CALC_ENGINE!AJ15</f>
        <v/>
      </c>
      <c r="J15" s="88">
        <f>CALC_ENGINE!AK15</f>
        <v/>
      </c>
      <c r="K15" s="65">
        <f>CALC_ENGINE!Q15</f>
        <v/>
      </c>
      <c r="L15" s="65">
        <f>CALC_ENGINE!AB15</f>
        <v/>
      </c>
      <c r="M15" s="69">
        <f>CALC_ENGINE!AL15</f>
        <v/>
      </c>
      <c r="N15" s="65">
        <f>CALC_ENGINE!O15</f>
        <v/>
      </c>
      <c r="O15" s="65">
        <f>CALC_ENGINE!Z15</f>
        <v/>
      </c>
      <c r="P15" s="69">
        <f>CALC_ENGINE!O15-CALC_ENGINE!Z15</f>
        <v/>
      </c>
      <c r="Q15" s="65">
        <f>CALC_ENGINE!P15</f>
        <v/>
      </c>
      <c r="R15" s="65">
        <f>CALC_ENGINE!AA15</f>
        <v/>
      </c>
      <c r="S15" s="69">
        <f>CALC_ENGINE!P15-CALC_ENGINE!AA15</f>
        <v/>
      </c>
      <c r="T15" s="69">
        <f>CALC_ENGINE!AG15</f>
        <v/>
      </c>
      <c r="U15" s="69">
        <f>CALC_ENGINE!AO15</f>
        <v/>
      </c>
      <c r="V15" s="69">
        <f>CALC_ENGINE!AP15</f>
        <v/>
      </c>
      <c r="W15" s="89">
        <f>CALC_ENGINE!AJ15+CALC_ENGINE!AL15+CALC_ENGINE!AG15</f>
        <v/>
      </c>
    </row>
    <row r="16" ht="18" customHeight="1">
      <c r="A16" s="51">
        <f>CALC_ENGINE!A16</f>
        <v/>
      </c>
      <c r="B16" s="51">
        <f>CALC_ENGINE!B16</f>
        <v/>
      </c>
      <c r="C16" s="51">
        <f>CALC_ENGINE!C16</f>
        <v/>
      </c>
      <c r="D16" s="84">
        <f>CALC_ENGINE!AQ16</f>
        <v/>
      </c>
      <c r="E16" s="84">
        <f>CALC_ENGINE!AR16</f>
        <v/>
      </c>
      <c r="F16" s="52">
        <f>CALC_ENGINE!D16</f>
        <v/>
      </c>
      <c r="G16" s="53">
        <f>CALC_ENGINE!R16</f>
        <v/>
      </c>
      <c r="H16" s="53">
        <f>CALC_ENGINE!AC16</f>
        <v/>
      </c>
      <c r="I16" s="58">
        <f>CALC_ENGINE!AJ16</f>
        <v/>
      </c>
      <c r="J16" s="85">
        <f>CALC_ENGINE!AK16</f>
        <v/>
      </c>
      <c r="K16" s="52">
        <f>CALC_ENGINE!Q16</f>
        <v/>
      </c>
      <c r="L16" s="52">
        <f>CALC_ENGINE!AB16</f>
        <v/>
      </c>
      <c r="M16" s="58">
        <f>CALC_ENGINE!AL16</f>
        <v/>
      </c>
      <c r="N16" s="52">
        <f>CALC_ENGINE!O16</f>
        <v/>
      </c>
      <c r="O16" s="52">
        <f>CALC_ENGINE!Z16</f>
        <v/>
      </c>
      <c r="P16" s="58">
        <f>CALC_ENGINE!O16-CALC_ENGINE!Z16</f>
        <v/>
      </c>
      <c r="Q16" s="52">
        <f>CALC_ENGINE!P16</f>
        <v/>
      </c>
      <c r="R16" s="52">
        <f>CALC_ENGINE!AA16</f>
        <v/>
      </c>
      <c r="S16" s="58">
        <f>CALC_ENGINE!P16-CALC_ENGINE!AA16</f>
        <v/>
      </c>
      <c r="T16" s="58">
        <f>CALC_ENGINE!AG16</f>
        <v/>
      </c>
      <c r="U16" s="58">
        <f>CALC_ENGINE!AO16</f>
        <v/>
      </c>
      <c r="V16" s="58">
        <f>CALC_ENGINE!AP16</f>
        <v/>
      </c>
      <c r="W16" s="86">
        <f>CALC_ENGINE!AJ16+CALC_ENGINE!AL16+CALC_ENGINE!AG16</f>
        <v/>
      </c>
    </row>
    <row r="17" ht="18" customHeight="1">
      <c r="A17" s="64">
        <f>CALC_ENGINE!A17</f>
        <v/>
      </c>
      <c r="B17" s="64">
        <f>CALC_ENGINE!B17</f>
        <v/>
      </c>
      <c r="C17" s="64">
        <f>CALC_ENGINE!C17</f>
        <v/>
      </c>
      <c r="D17" s="87">
        <f>CALC_ENGINE!AQ17</f>
        <v/>
      </c>
      <c r="E17" s="87">
        <f>CALC_ENGINE!AR17</f>
        <v/>
      </c>
      <c r="F17" s="65">
        <f>CALC_ENGINE!D17</f>
        <v/>
      </c>
      <c r="G17" s="66">
        <f>CALC_ENGINE!R17</f>
        <v/>
      </c>
      <c r="H17" s="66">
        <f>CALC_ENGINE!AC17</f>
        <v/>
      </c>
      <c r="I17" s="69">
        <f>CALC_ENGINE!AJ17</f>
        <v/>
      </c>
      <c r="J17" s="88">
        <f>CALC_ENGINE!AK17</f>
        <v/>
      </c>
      <c r="K17" s="65">
        <f>CALC_ENGINE!Q17</f>
        <v/>
      </c>
      <c r="L17" s="65">
        <f>CALC_ENGINE!AB17</f>
        <v/>
      </c>
      <c r="M17" s="69">
        <f>CALC_ENGINE!AL17</f>
        <v/>
      </c>
      <c r="N17" s="65">
        <f>CALC_ENGINE!O17</f>
        <v/>
      </c>
      <c r="O17" s="65">
        <f>CALC_ENGINE!Z17</f>
        <v/>
      </c>
      <c r="P17" s="69">
        <f>CALC_ENGINE!O17-CALC_ENGINE!Z17</f>
        <v/>
      </c>
      <c r="Q17" s="65">
        <f>CALC_ENGINE!P17</f>
        <v/>
      </c>
      <c r="R17" s="65">
        <f>CALC_ENGINE!AA17</f>
        <v/>
      </c>
      <c r="S17" s="69">
        <f>CALC_ENGINE!P17-CALC_ENGINE!AA17</f>
        <v/>
      </c>
      <c r="T17" s="69">
        <f>CALC_ENGINE!AG17</f>
        <v/>
      </c>
      <c r="U17" s="69">
        <f>CALC_ENGINE!AO17</f>
        <v/>
      </c>
      <c r="V17" s="69">
        <f>CALC_ENGINE!AP17</f>
        <v/>
      </c>
      <c r="W17" s="89">
        <f>CALC_ENGINE!AJ17+CALC_ENGINE!AL17+CALC_ENGINE!AG17</f>
        <v/>
      </c>
    </row>
    <row r="18" ht="18" customHeight="1">
      <c r="A18" s="51">
        <f>CALC_ENGINE!A18</f>
        <v/>
      </c>
      <c r="B18" s="51">
        <f>CALC_ENGINE!B18</f>
        <v/>
      </c>
      <c r="C18" s="51">
        <f>CALC_ENGINE!C18</f>
        <v/>
      </c>
      <c r="D18" s="84">
        <f>CALC_ENGINE!AQ18</f>
        <v/>
      </c>
      <c r="E18" s="84">
        <f>CALC_ENGINE!AR18</f>
        <v/>
      </c>
      <c r="F18" s="52">
        <f>CALC_ENGINE!D18</f>
        <v/>
      </c>
      <c r="G18" s="53">
        <f>CALC_ENGINE!R18</f>
        <v/>
      </c>
      <c r="H18" s="53">
        <f>CALC_ENGINE!AC18</f>
        <v/>
      </c>
      <c r="I18" s="58">
        <f>CALC_ENGINE!AJ18</f>
        <v/>
      </c>
      <c r="J18" s="85">
        <f>CALC_ENGINE!AK18</f>
        <v/>
      </c>
      <c r="K18" s="52">
        <f>CALC_ENGINE!Q18</f>
        <v/>
      </c>
      <c r="L18" s="52">
        <f>CALC_ENGINE!AB18</f>
        <v/>
      </c>
      <c r="M18" s="58">
        <f>CALC_ENGINE!AL18</f>
        <v/>
      </c>
      <c r="N18" s="52">
        <f>CALC_ENGINE!O18</f>
        <v/>
      </c>
      <c r="O18" s="52">
        <f>CALC_ENGINE!Z18</f>
        <v/>
      </c>
      <c r="P18" s="58">
        <f>CALC_ENGINE!O18-CALC_ENGINE!Z18</f>
        <v/>
      </c>
      <c r="Q18" s="52">
        <f>CALC_ENGINE!P18</f>
        <v/>
      </c>
      <c r="R18" s="52">
        <f>CALC_ENGINE!AA18</f>
        <v/>
      </c>
      <c r="S18" s="58">
        <f>CALC_ENGINE!P18-CALC_ENGINE!AA18</f>
        <v/>
      </c>
      <c r="T18" s="58">
        <f>CALC_ENGINE!AG18</f>
        <v/>
      </c>
      <c r="U18" s="58">
        <f>CALC_ENGINE!AO18</f>
        <v/>
      </c>
      <c r="V18" s="58">
        <f>CALC_ENGINE!AP18</f>
        <v/>
      </c>
      <c r="W18" s="86">
        <f>CALC_ENGINE!AJ18+CALC_ENGINE!AL18+CALC_ENGINE!AG18</f>
        <v/>
      </c>
    </row>
    <row r="19" ht="18" customHeight="1">
      <c r="A19" s="64">
        <f>CALC_ENGINE!A19</f>
        <v/>
      </c>
      <c r="B19" s="64">
        <f>CALC_ENGINE!B19</f>
        <v/>
      </c>
      <c r="C19" s="64">
        <f>CALC_ENGINE!C19</f>
        <v/>
      </c>
      <c r="D19" s="87">
        <f>CALC_ENGINE!AQ19</f>
        <v/>
      </c>
      <c r="E19" s="87">
        <f>CALC_ENGINE!AR19</f>
        <v/>
      </c>
      <c r="F19" s="65">
        <f>CALC_ENGINE!D19</f>
        <v/>
      </c>
      <c r="G19" s="66">
        <f>CALC_ENGINE!R19</f>
        <v/>
      </c>
      <c r="H19" s="66">
        <f>CALC_ENGINE!AC19</f>
        <v/>
      </c>
      <c r="I19" s="69">
        <f>CALC_ENGINE!AJ19</f>
        <v/>
      </c>
      <c r="J19" s="88">
        <f>CALC_ENGINE!AK19</f>
        <v/>
      </c>
      <c r="K19" s="65">
        <f>CALC_ENGINE!Q19</f>
        <v/>
      </c>
      <c r="L19" s="65">
        <f>CALC_ENGINE!AB19</f>
        <v/>
      </c>
      <c r="M19" s="69">
        <f>CALC_ENGINE!AL19</f>
        <v/>
      </c>
      <c r="N19" s="65">
        <f>CALC_ENGINE!O19</f>
        <v/>
      </c>
      <c r="O19" s="65">
        <f>CALC_ENGINE!Z19</f>
        <v/>
      </c>
      <c r="P19" s="69">
        <f>CALC_ENGINE!O19-CALC_ENGINE!Z19</f>
        <v/>
      </c>
      <c r="Q19" s="65">
        <f>CALC_ENGINE!P19</f>
        <v/>
      </c>
      <c r="R19" s="65">
        <f>CALC_ENGINE!AA19</f>
        <v/>
      </c>
      <c r="S19" s="69">
        <f>CALC_ENGINE!P19-CALC_ENGINE!AA19</f>
        <v/>
      </c>
      <c r="T19" s="69">
        <f>CALC_ENGINE!AG19</f>
        <v/>
      </c>
      <c r="U19" s="69">
        <f>CALC_ENGINE!AO19</f>
        <v/>
      </c>
      <c r="V19" s="69">
        <f>CALC_ENGINE!AP19</f>
        <v/>
      </c>
      <c r="W19" s="89">
        <f>CALC_ENGINE!AJ19+CALC_ENGINE!AL19+CALC_ENGINE!AG19</f>
        <v/>
      </c>
    </row>
    <row r="20" ht="18" customHeight="1">
      <c r="A20" s="51">
        <f>CALC_ENGINE!A20</f>
        <v/>
      </c>
      <c r="B20" s="51">
        <f>CALC_ENGINE!B20</f>
        <v/>
      </c>
      <c r="C20" s="51">
        <f>CALC_ENGINE!C20</f>
        <v/>
      </c>
      <c r="D20" s="84">
        <f>CALC_ENGINE!AQ20</f>
        <v/>
      </c>
      <c r="E20" s="84">
        <f>CALC_ENGINE!AR20</f>
        <v/>
      </c>
      <c r="F20" s="52">
        <f>CALC_ENGINE!D20</f>
        <v/>
      </c>
      <c r="G20" s="53">
        <f>CALC_ENGINE!R20</f>
        <v/>
      </c>
      <c r="H20" s="53">
        <f>CALC_ENGINE!AC20</f>
        <v/>
      </c>
      <c r="I20" s="58">
        <f>CALC_ENGINE!AJ20</f>
        <v/>
      </c>
      <c r="J20" s="85">
        <f>CALC_ENGINE!AK20</f>
        <v/>
      </c>
      <c r="K20" s="52">
        <f>CALC_ENGINE!Q20</f>
        <v/>
      </c>
      <c r="L20" s="52">
        <f>CALC_ENGINE!AB20</f>
        <v/>
      </c>
      <c r="M20" s="58">
        <f>CALC_ENGINE!AL20</f>
        <v/>
      </c>
      <c r="N20" s="52">
        <f>CALC_ENGINE!O20</f>
        <v/>
      </c>
      <c r="O20" s="52">
        <f>CALC_ENGINE!Z20</f>
        <v/>
      </c>
      <c r="P20" s="58">
        <f>CALC_ENGINE!O20-CALC_ENGINE!Z20</f>
        <v/>
      </c>
      <c r="Q20" s="52">
        <f>CALC_ENGINE!P20</f>
        <v/>
      </c>
      <c r="R20" s="52">
        <f>CALC_ENGINE!AA20</f>
        <v/>
      </c>
      <c r="S20" s="58">
        <f>CALC_ENGINE!P20-CALC_ENGINE!AA20</f>
        <v/>
      </c>
      <c r="T20" s="58">
        <f>CALC_ENGINE!AG20</f>
        <v/>
      </c>
      <c r="U20" s="58">
        <f>CALC_ENGINE!AO20</f>
        <v/>
      </c>
      <c r="V20" s="58">
        <f>CALC_ENGINE!AP20</f>
        <v/>
      </c>
      <c r="W20" s="86">
        <f>CALC_ENGINE!AJ20+CALC_ENGINE!AL20+CALC_ENGINE!AG20</f>
        <v/>
      </c>
    </row>
    <row r="21" ht="18" customHeight="1">
      <c r="A21" s="64">
        <f>CALC_ENGINE!A21</f>
        <v/>
      </c>
      <c r="B21" s="64">
        <f>CALC_ENGINE!B21</f>
        <v/>
      </c>
      <c r="C21" s="64">
        <f>CALC_ENGINE!C21</f>
        <v/>
      </c>
      <c r="D21" s="87">
        <f>CALC_ENGINE!AQ21</f>
        <v/>
      </c>
      <c r="E21" s="87">
        <f>CALC_ENGINE!AR21</f>
        <v/>
      </c>
      <c r="F21" s="65">
        <f>CALC_ENGINE!D21</f>
        <v/>
      </c>
      <c r="G21" s="66">
        <f>CALC_ENGINE!R21</f>
        <v/>
      </c>
      <c r="H21" s="66">
        <f>CALC_ENGINE!AC21</f>
        <v/>
      </c>
      <c r="I21" s="69">
        <f>CALC_ENGINE!AJ21</f>
        <v/>
      </c>
      <c r="J21" s="88">
        <f>CALC_ENGINE!AK21</f>
        <v/>
      </c>
      <c r="K21" s="65">
        <f>CALC_ENGINE!Q21</f>
        <v/>
      </c>
      <c r="L21" s="65">
        <f>CALC_ENGINE!AB21</f>
        <v/>
      </c>
      <c r="M21" s="69">
        <f>CALC_ENGINE!AL21</f>
        <v/>
      </c>
      <c r="N21" s="65">
        <f>CALC_ENGINE!O21</f>
        <v/>
      </c>
      <c r="O21" s="65">
        <f>CALC_ENGINE!Z21</f>
        <v/>
      </c>
      <c r="P21" s="69">
        <f>CALC_ENGINE!O21-CALC_ENGINE!Z21</f>
        <v/>
      </c>
      <c r="Q21" s="65">
        <f>CALC_ENGINE!P21</f>
        <v/>
      </c>
      <c r="R21" s="65">
        <f>CALC_ENGINE!AA21</f>
        <v/>
      </c>
      <c r="S21" s="69">
        <f>CALC_ENGINE!P21-CALC_ENGINE!AA21</f>
        <v/>
      </c>
      <c r="T21" s="69">
        <f>CALC_ENGINE!AG21</f>
        <v/>
      </c>
      <c r="U21" s="69">
        <f>CALC_ENGINE!AO21</f>
        <v/>
      </c>
      <c r="V21" s="69">
        <f>CALC_ENGINE!AP21</f>
        <v/>
      </c>
      <c r="W21" s="89">
        <f>CALC_ENGINE!AJ21+CALC_ENGINE!AL21+CALC_ENGINE!AG21</f>
        <v/>
      </c>
    </row>
    <row r="22" ht="18" customHeight="1">
      <c r="A22" s="51">
        <f>CALC_ENGINE!A22</f>
        <v/>
      </c>
      <c r="B22" s="51">
        <f>CALC_ENGINE!B22</f>
        <v/>
      </c>
      <c r="C22" s="51">
        <f>CALC_ENGINE!C22</f>
        <v/>
      </c>
      <c r="D22" s="84">
        <f>CALC_ENGINE!AQ22</f>
        <v/>
      </c>
      <c r="E22" s="84">
        <f>CALC_ENGINE!AR22</f>
        <v/>
      </c>
      <c r="F22" s="52">
        <f>CALC_ENGINE!D22</f>
        <v/>
      </c>
      <c r="G22" s="53">
        <f>CALC_ENGINE!R22</f>
        <v/>
      </c>
      <c r="H22" s="53">
        <f>CALC_ENGINE!AC22</f>
        <v/>
      </c>
      <c r="I22" s="58">
        <f>CALC_ENGINE!AJ22</f>
        <v/>
      </c>
      <c r="J22" s="85">
        <f>CALC_ENGINE!AK22</f>
        <v/>
      </c>
      <c r="K22" s="52">
        <f>CALC_ENGINE!Q22</f>
        <v/>
      </c>
      <c r="L22" s="52">
        <f>CALC_ENGINE!AB22</f>
        <v/>
      </c>
      <c r="M22" s="58">
        <f>CALC_ENGINE!AL22</f>
        <v/>
      </c>
      <c r="N22" s="52">
        <f>CALC_ENGINE!O22</f>
        <v/>
      </c>
      <c r="O22" s="52">
        <f>CALC_ENGINE!Z22</f>
        <v/>
      </c>
      <c r="P22" s="58">
        <f>CALC_ENGINE!O22-CALC_ENGINE!Z22</f>
        <v/>
      </c>
      <c r="Q22" s="52">
        <f>CALC_ENGINE!P22</f>
        <v/>
      </c>
      <c r="R22" s="52">
        <f>CALC_ENGINE!AA22</f>
        <v/>
      </c>
      <c r="S22" s="58">
        <f>CALC_ENGINE!P22-CALC_ENGINE!AA22</f>
        <v/>
      </c>
      <c r="T22" s="58">
        <f>CALC_ENGINE!AG22</f>
        <v/>
      </c>
      <c r="U22" s="58">
        <f>CALC_ENGINE!AO22</f>
        <v/>
      </c>
      <c r="V22" s="58">
        <f>CALC_ENGINE!AP22</f>
        <v/>
      </c>
      <c r="W22" s="86">
        <f>CALC_ENGINE!AJ22+CALC_ENGINE!AL22+CALC_ENGINE!AG22</f>
        <v/>
      </c>
    </row>
    <row r="23" ht="18" customHeight="1">
      <c r="A23" s="64">
        <f>CALC_ENGINE!A23</f>
        <v/>
      </c>
      <c r="B23" s="64">
        <f>CALC_ENGINE!B23</f>
        <v/>
      </c>
      <c r="C23" s="64">
        <f>CALC_ENGINE!C23</f>
        <v/>
      </c>
      <c r="D23" s="87">
        <f>CALC_ENGINE!AQ23</f>
        <v/>
      </c>
      <c r="E23" s="87">
        <f>CALC_ENGINE!AR23</f>
        <v/>
      </c>
      <c r="F23" s="65">
        <f>CALC_ENGINE!D23</f>
        <v/>
      </c>
      <c r="G23" s="66">
        <f>CALC_ENGINE!R23</f>
        <v/>
      </c>
      <c r="H23" s="66">
        <f>CALC_ENGINE!AC23</f>
        <v/>
      </c>
      <c r="I23" s="69">
        <f>CALC_ENGINE!AJ23</f>
        <v/>
      </c>
      <c r="J23" s="88">
        <f>CALC_ENGINE!AK23</f>
        <v/>
      </c>
      <c r="K23" s="65">
        <f>CALC_ENGINE!Q23</f>
        <v/>
      </c>
      <c r="L23" s="65">
        <f>CALC_ENGINE!AB23</f>
        <v/>
      </c>
      <c r="M23" s="69">
        <f>CALC_ENGINE!AL23</f>
        <v/>
      </c>
      <c r="N23" s="65">
        <f>CALC_ENGINE!O23</f>
        <v/>
      </c>
      <c r="O23" s="65">
        <f>CALC_ENGINE!Z23</f>
        <v/>
      </c>
      <c r="P23" s="69">
        <f>CALC_ENGINE!O23-CALC_ENGINE!Z23</f>
        <v/>
      </c>
      <c r="Q23" s="65">
        <f>CALC_ENGINE!P23</f>
        <v/>
      </c>
      <c r="R23" s="65">
        <f>CALC_ENGINE!AA23</f>
        <v/>
      </c>
      <c r="S23" s="69">
        <f>CALC_ENGINE!P23-CALC_ENGINE!AA23</f>
        <v/>
      </c>
      <c r="T23" s="69">
        <f>CALC_ENGINE!AG23</f>
        <v/>
      </c>
      <c r="U23" s="69">
        <f>CALC_ENGINE!AO23</f>
        <v/>
      </c>
      <c r="V23" s="69">
        <f>CALC_ENGINE!AP23</f>
        <v/>
      </c>
      <c r="W23" s="89">
        <f>CALC_ENGINE!AJ23+CALC_ENGINE!AL23+CALC_ENGINE!AG23</f>
        <v/>
      </c>
    </row>
    <row r="24" ht="18" customHeight="1">
      <c r="A24" s="51">
        <f>CALC_ENGINE!A24</f>
        <v/>
      </c>
      <c r="B24" s="51">
        <f>CALC_ENGINE!B24</f>
        <v/>
      </c>
      <c r="C24" s="51">
        <f>CALC_ENGINE!C24</f>
        <v/>
      </c>
      <c r="D24" s="84">
        <f>CALC_ENGINE!AQ24</f>
        <v/>
      </c>
      <c r="E24" s="84">
        <f>CALC_ENGINE!AR24</f>
        <v/>
      </c>
      <c r="F24" s="52">
        <f>CALC_ENGINE!D24</f>
        <v/>
      </c>
      <c r="G24" s="53">
        <f>CALC_ENGINE!R24</f>
        <v/>
      </c>
      <c r="H24" s="53">
        <f>CALC_ENGINE!AC24</f>
        <v/>
      </c>
      <c r="I24" s="58">
        <f>CALC_ENGINE!AJ24</f>
        <v/>
      </c>
      <c r="J24" s="85">
        <f>CALC_ENGINE!AK24</f>
        <v/>
      </c>
      <c r="K24" s="52">
        <f>CALC_ENGINE!Q24</f>
        <v/>
      </c>
      <c r="L24" s="52">
        <f>CALC_ENGINE!AB24</f>
        <v/>
      </c>
      <c r="M24" s="58">
        <f>CALC_ENGINE!AL24</f>
        <v/>
      </c>
      <c r="N24" s="52">
        <f>CALC_ENGINE!O24</f>
        <v/>
      </c>
      <c r="O24" s="52">
        <f>CALC_ENGINE!Z24</f>
        <v/>
      </c>
      <c r="P24" s="58">
        <f>CALC_ENGINE!O24-CALC_ENGINE!Z24</f>
        <v/>
      </c>
      <c r="Q24" s="52">
        <f>CALC_ENGINE!P24</f>
        <v/>
      </c>
      <c r="R24" s="52">
        <f>CALC_ENGINE!AA24</f>
        <v/>
      </c>
      <c r="S24" s="58">
        <f>CALC_ENGINE!P24-CALC_ENGINE!AA24</f>
        <v/>
      </c>
      <c r="T24" s="58">
        <f>CALC_ENGINE!AG24</f>
        <v/>
      </c>
      <c r="U24" s="58">
        <f>CALC_ENGINE!AO24</f>
        <v/>
      </c>
      <c r="V24" s="58">
        <f>CALC_ENGINE!AP24</f>
        <v/>
      </c>
      <c r="W24" s="86">
        <f>CALC_ENGINE!AJ24+CALC_ENGINE!AL24+CALC_ENGINE!AG24</f>
        <v/>
      </c>
    </row>
    <row r="25" ht="18" customHeight="1">
      <c r="A25" s="64">
        <f>CALC_ENGINE!A25</f>
        <v/>
      </c>
      <c r="B25" s="64">
        <f>CALC_ENGINE!B25</f>
        <v/>
      </c>
      <c r="C25" s="64">
        <f>CALC_ENGINE!C25</f>
        <v/>
      </c>
      <c r="D25" s="87">
        <f>CALC_ENGINE!AQ25</f>
        <v/>
      </c>
      <c r="E25" s="87">
        <f>CALC_ENGINE!AR25</f>
        <v/>
      </c>
      <c r="F25" s="65">
        <f>CALC_ENGINE!D25</f>
        <v/>
      </c>
      <c r="G25" s="66">
        <f>CALC_ENGINE!R25</f>
        <v/>
      </c>
      <c r="H25" s="66">
        <f>CALC_ENGINE!AC25</f>
        <v/>
      </c>
      <c r="I25" s="69">
        <f>CALC_ENGINE!AJ25</f>
        <v/>
      </c>
      <c r="J25" s="88">
        <f>CALC_ENGINE!AK25</f>
        <v/>
      </c>
      <c r="K25" s="65">
        <f>CALC_ENGINE!Q25</f>
        <v/>
      </c>
      <c r="L25" s="65">
        <f>CALC_ENGINE!AB25</f>
        <v/>
      </c>
      <c r="M25" s="69">
        <f>CALC_ENGINE!AL25</f>
        <v/>
      </c>
      <c r="N25" s="65">
        <f>CALC_ENGINE!O25</f>
        <v/>
      </c>
      <c r="O25" s="65">
        <f>CALC_ENGINE!Z25</f>
        <v/>
      </c>
      <c r="P25" s="69">
        <f>CALC_ENGINE!O25-CALC_ENGINE!Z25</f>
        <v/>
      </c>
      <c r="Q25" s="65">
        <f>CALC_ENGINE!P25</f>
        <v/>
      </c>
      <c r="R25" s="65">
        <f>CALC_ENGINE!AA25</f>
        <v/>
      </c>
      <c r="S25" s="69">
        <f>CALC_ENGINE!P25-CALC_ENGINE!AA25</f>
        <v/>
      </c>
      <c r="T25" s="69">
        <f>CALC_ENGINE!AG25</f>
        <v/>
      </c>
      <c r="U25" s="69">
        <f>CALC_ENGINE!AO25</f>
        <v/>
      </c>
      <c r="V25" s="69">
        <f>CALC_ENGINE!AP25</f>
        <v/>
      </c>
      <c r="W25" s="89">
        <f>CALC_ENGINE!AJ25+CALC_ENGINE!AL25+CALC_ENGINE!AG25</f>
        <v/>
      </c>
    </row>
    <row r="26" ht="18" customHeight="1">
      <c r="A26" s="51">
        <f>CALC_ENGINE!A26</f>
        <v/>
      </c>
      <c r="B26" s="51">
        <f>CALC_ENGINE!B26</f>
        <v/>
      </c>
      <c r="C26" s="51">
        <f>CALC_ENGINE!C26</f>
        <v/>
      </c>
      <c r="D26" s="84">
        <f>CALC_ENGINE!AQ26</f>
        <v/>
      </c>
      <c r="E26" s="84">
        <f>CALC_ENGINE!AR26</f>
        <v/>
      </c>
      <c r="F26" s="52">
        <f>CALC_ENGINE!D26</f>
        <v/>
      </c>
      <c r="G26" s="53">
        <f>CALC_ENGINE!R26</f>
        <v/>
      </c>
      <c r="H26" s="53">
        <f>CALC_ENGINE!AC26</f>
        <v/>
      </c>
      <c r="I26" s="58">
        <f>CALC_ENGINE!AJ26</f>
        <v/>
      </c>
      <c r="J26" s="85">
        <f>CALC_ENGINE!AK26</f>
        <v/>
      </c>
      <c r="K26" s="52">
        <f>CALC_ENGINE!Q26</f>
        <v/>
      </c>
      <c r="L26" s="52">
        <f>CALC_ENGINE!AB26</f>
        <v/>
      </c>
      <c r="M26" s="58">
        <f>CALC_ENGINE!AL26</f>
        <v/>
      </c>
      <c r="N26" s="52">
        <f>CALC_ENGINE!O26</f>
        <v/>
      </c>
      <c r="O26" s="52">
        <f>CALC_ENGINE!Z26</f>
        <v/>
      </c>
      <c r="P26" s="58">
        <f>CALC_ENGINE!O26-CALC_ENGINE!Z26</f>
        <v/>
      </c>
      <c r="Q26" s="52">
        <f>CALC_ENGINE!P26</f>
        <v/>
      </c>
      <c r="R26" s="52">
        <f>CALC_ENGINE!AA26</f>
        <v/>
      </c>
      <c r="S26" s="58">
        <f>CALC_ENGINE!P26-CALC_ENGINE!AA26</f>
        <v/>
      </c>
      <c r="T26" s="58">
        <f>CALC_ENGINE!AG26</f>
        <v/>
      </c>
      <c r="U26" s="58">
        <f>CALC_ENGINE!AO26</f>
        <v/>
      </c>
      <c r="V26" s="58">
        <f>CALC_ENGINE!AP26</f>
        <v/>
      </c>
      <c r="W26" s="86">
        <f>CALC_ENGINE!AJ26+CALC_ENGINE!AL26+CALC_ENGINE!AG26</f>
        <v/>
      </c>
    </row>
    <row r="27" ht="18" customHeight="1">
      <c r="A27" s="64">
        <f>CALC_ENGINE!A27</f>
        <v/>
      </c>
      <c r="B27" s="64">
        <f>CALC_ENGINE!B27</f>
        <v/>
      </c>
      <c r="C27" s="64">
        <f>CALC_ENGINE!C27</f>
        <v/>
      </c>
      <c r="D27" s="87">
        <f>CALC_ENGINE!AQ27</f>
        <v/>
      </c>
      <c r="E27" s="87">
        <f>CALC_ENGINE!AR27</f>
        <v/>
      </c>
      <c r="F27" s="65">
        <f>CALC_ENGINE!D27</f>
        <v/>
      </c>
      <c r="G27" s="66">
        <f>CALC_ENGINE!R27</f>
        <v/>
      </c>
      <c r="H27" s="66">
        <f>CALC_ENGINE!AC27</f>
        <v/>
      </c>
      <c r="I27" s="69">
        <f>CALC_ENGINE!AJ27</f>
        <v/>
      </c>
      <c r="J27" s="88">
        <f>CALC_ENGINE!AK27</f>
        <v/>
      </c>
      <c r="K27" s="65">
        <f>CALC_ENGINE!Q27</f>
        <v/>
      </c>
      <c r="L27" s="65">
        <f>CALC_ENGINE!AB27</f>
        <v/>
      </c>
      <c r="M27" s="69">
        <f>CALC_ENGINE!AL27</f>
        <v/>
      </c>
      <c r="N27" s="65">
        <f>CALC_ENGINE!O27</f>
        <v/>
      </c>
      <c r="O27" s="65">
        <f>CALC_ENGINE!Z27</f>
        <v/>
      </c>
      <c r="P27" s="69">
        <f>CALC_ENGINE!O27-CALC_ENGINE!Z27</f>
        <v/>
      </c>
      <c r="Q27" s="65">
        <f>CALC_ENGINE!P27</f>
        <v/>
      </c>
      <c r="R27" s="65">
        <f>CALC_ENGINE!AA27</f>
        <v/>
      </c>
      <c r="S27" s="69">
        <f>CALC_ENGINE!P27-CALC_ENGINE!AA27</f>
        <v/>
      </c>
      <c r="T27" s="69">
        <f>CALC_ENGINE!AG27</f>
        <v/>
      </c>
      <c r="U27" s="69">
        <f>CALC_ENGINE!AO27</f>
        <v/>
      </c>
      <c r="V27" s="69">
        <f>CALC_ENGINE!AP27</f>
        <v/>
      </c>
      <c r="W27" s="89">
        <f>CALC_ENGINE!AJ27+CALC_ENGINE!AL27+CALC_ENGINE!AG27</f>
        <v/>
      </c>
    </row>
    <row r="28" ht="18" customHeight="1">
      <c r="A28" s="51">
        <f>CALC_ENGINE!A28</f>
        <v/>
      </c>
      <c r="B28" s="51">
        <f>CALC_ENGINE!B28</f>
        <v/>
      </c>
      <c r="C28" s="51">
        <f>CALC_ENGINE!C28</f>
        <v/>
      </c>
      <c r="D28" s="84">
        <f>CALC_ENGINE!AQ28</f>
        <v/>
      </c>
      <c r="E28" s="84">
        <f>CALC_ENGINE!AR28</f>
        <v/>
      </c>
      <c r="F28" s="52">
        <f>CALC_ENGINE!D28</f>
        <v/>
      </c>
      <c r="G28" s="53">
        <f>CALC_ENGINE!R28</f>
        <v/>
      </c>
      <c r="H28" s="53">
        <f>CALC_ENGINE!AC28</f>
        <v/>
      </c>
      <c r="I28" s="58">
        <f>CALC_ENGINE!AJ28</f>
        <v/>
      </c>
      <c r="J28" s="85">
        <f>CALC_ENGINE!AK28</f>
        <v/>
      </c>
      <c r="K28" s="52">
        <f>CALC_ENGINE!Q28</f>
        <v/>
      </c>
      <c r="L28" s="52">
        <f>CALC_ENGINE!AB28</f>
        <v/>
      </c>
      <c r="M28" s="58">
        <f>CALC_ENGINE!AL28</f>
        <v/>
      </c>
      <c r="N28" s="52">
        <f>CALC_ENGINE!O28</f>
        <v/>
      </c>
      <c r="O28" s="52">
        <f>CALC_ENGINE!Z28</f>
        <v/>
      </c>
      <c r="P28" s="58">
        <f>CALC_ENGINE!O28-CALC_ENGINE!Z28</f>
        <v/>
      </c>
      <c r="Q28" s="52">
        <f>CALC_ENGINE!P28</f>
        <v/>
      </c>
      <c r="R28" s="52">
        <f>CALC_ENGINE!AA28</f>
        <v/>
      </c>
      <c r="S28" s="58">
        <f>CALC_ENGINE!P28-CALC_ENGINE!AA28</f>
        <v/>
      </c>
      <c r="T28" s="58">
        <f>CALC_ENGINE!AG28</f>
        <v/>
      </c>
      <c r="U28" s="58">
        <f>CALC_ENGINE!AO28</f>
        <v/>
      </c>
      <c r="V28" s="58">
        <f>CALC_ENGINE!AP28</f>
        <v/>
      </c>
      <c r="W28" s="86">
        <f>CALC_ENGINE!AJ28+CALC_ENGINE!AL28+CALC_ENGINE!AG28</f>
        <v/>
      </c>
    </row>
    <row r="29" ht="24" customHeight="1">
      <c r="A29" s="78" t="inlineStr">
        <is>
          <t>COMPANY TOTALS</t>
        </is>
      </c>
      <c r="F29" s="79">
        <f>SUM(F4:F28)</f>
        <v/>
      </c>
      <c r="G29" s="79">
        <f>SUM(G4:G28)</f>
        <v/>
      </c>
      <c r="H29" s="79">
        <f>SUM(H4:H28)</f>
        <v/>
      </c>
      <c r="I29" s="79">
        <f>SUM(I4:I28)</f>
        <v/>
      </c>
      <c r="J29" s="90">
        <f>IFERROR(I29/G29,0)</f>
        <v/>
      </c>
      <c r="K29" s="79">
        <f>SUM(K4:K28)</f>
        <v/>
      </c>
      <c r="L29" s="79">
        <f>SUM(L4:L28)</f>
        <v/>
      </c>
      <c r="M29" s="79">
        <f>SUM(M4:M28)</f>
        <v/>
      </c>
      <c r="N29" s="79">
        <f>SUM(N4:N28)</f>
        <v/>
      </c>
      <c r="O29" s="79">
        <f>SUM(O4:O28)</f>
        <v/>
      </c>
      <c r="P29" s="79">
        <f>SUM(P4:P28)</f>
        <v/>
      </c>
      <c r="Q29" s="79">
        <f>SUM(Q4:Q28)</f>
        <v/>
      </c>
      <c r="R29" s="79">
        <f>SUM(R4:R28)</f>
        <v/>
      </c>
      <c r="S29" s="79">
        <f>SUM(S4:S28)</f>
        <v/>
      </c>
      <c r="T29" s="79">
        <f>SUM(T4:T28)</f>
        <v/>
      </c>
      <c r="U29" s="79">
        <f>SUM(U4:U28)</f>
        <v/>
      </c>
      <c r="W29" s="79">
        <f>SUM(W4:W28)</f>
        <v/>
      </c>
    </row>
  </sheetData>
  <mergeCells count="2">
    <mergeCell ref="A29:E29"/>
    <mergeCell ref="A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0" customWidth="1" min="3" max="3"/>
    <col width="20" customWidth="1" min="4" max="4"/>
    <col width="20" customWidth="1" min="5" max="5"/>
    <col width="2" customWidth="1" min="6" max="6"/>
  </cols>
  <sheetData>
    <row r="1" ht="36" customHeight="1">
      <c r="A1" s="81" t="inlineStr">
        <is>
          <t>EMPLOYER COST ANALYSIS — Total Company Impact of Salary Sacrifice</t>
        </is>
      </c>
    </row>
    <row r="3" ht="22" customHeight="1">
      <c r="B3" s="91" t="inlineStr">
        <is>
          <t>COMPANY-WIDE PAYROLL SUMMARY</t>
        </is>
      </c>
      <c r="C3" s="17" t="n"/>
      <c r="D3" s="17" t="n"/>
      <c r="E3" s="18" t="n"/>
    </row>
    <row r="4" ht="24" customHeight="1">
      <c r="B4" s="92" t="inlineStr">
        <is>
          <t>Metric</t>
        </is>
      </c>
      <c r="C4" s="92" t="inlineStr">
        <is>
          <t>Pre-Sacrifice £</t>
        </is>
      </c>
      <c r="D4" s="92" t="inlineStr">
        <is>
          <t>Post-Sacrifice £</t>
        </is>
      </c>
      <c r="E4" s="92" t="inlineStr">
        <is>
          <t>Change £</t>
        </is>
      </c>
    </row>
    <row r="5" ht="18" customHeight="1">
      <c r="B5" s="93" t="inlineStr">
        <is>
          <t>Total Gross Payroll</t>
        </is>
      </c>
      <c r="C5" s="65">
        <f>CALC_ENGINE!D29</f>
        <v/>
      </c>
      <c r="D5" s="65">
        <f>CALC_ENGINE!W29</f>
        <v/>
      </c>
      <c r="E5" s="65">
        <f>D5-C5</f>
        <v/>
      </c>
    </row>
    <row r="6" ht="18" customHeight="1">
      <c r="B6" s="94" t="inlineStr">
        <is>
          <t>Total PAYE Tax</t>
        </is>
      </c>
      <c r="C6" s="52">
        <f>CALC_ENGINE!O29</f>
        <v/>
      </c>
      <c r="D6" s="52">
        <f>CALC_ENGINE!Z29</f>
        <v/>
      </c>
      <c r="E6" s="52">
        <f>D6-C6</f>
        <v/>
      </c>
    </row>
    <row r="7" ht="18" customHeight="1">
      <c r="B7" s="93" t="inlineStr">
        <is>
          <t>Total Employee NI</t>
        </is>
      </c>
      <c r="C7" s="65">
        <f>CALC_ENGINE!P29</f>
        <v/>
      </c>
      <c r="D7" s="65">
        <f>CALC_ENGINE!AA29</f>
        <v/>
      </c>
      <c r="E7" s="65">
        <f>D7-C7</f>
        <v/>
      </c>
    </row>
    <row r="8" ht="18" customHeight="1">
      <c r="B8" s="94" t="inlineStr">
        <is>
          <t>Total Employee Pension (EE)</t>
        </is>
      </c>
      <c r="C8" s="52">
        <f>CALC_ENGINE!Q29</f>
        <v/>
      </c>
      <c r="D8" s="52">
        <f>CALC_ENGINE!AB29</f>
        <v/>
      </c>
      <c r="E8" s="52">
        <f>D8-C8</f>
        <v/>
      </c>
    </row>
    <row r="9" ht="18" customHeight="1">
      <c r="B9" s="95" t="inlineStr">
        <is>
          <t>Total Employee Take-Home</t>
        </is>
      </c>
      <c r="C9" s="32">
        <f>CALC_ENGINE!R29</f>
        <v/>
      </c>
      <c r="D9" s="32">
        <f>CALC_ENGINE!AC29</f>
        <v/>
      </c>
      <c r="E9" s="96">
        <f>D9-C9</f>
        <v/>
      </c>
    </row>
    <row r="10" ht="18" customHeight="1">
      <c r="B10" s="94" t="inlineStr">
        <is>
          <t>Total Employer Pension (ER)</t>
        </is>
      </c>
      <c r="C10" s="52">
        <f>CALC_ENGINE!S29</f>
        <v/>
      </c>
      <c r="D10" s="52">
        <f>CALC_ENGINE!AD29</f>
        <v/>
      </c>
      <c r="E10" s="52">
        <f>D10-C10</f>
        <v/>
      </c>
    </row>
    <row r="11" ht="18" customHeight="1">
      <c r="B11" s="93" t="inlineStr">
        <is>
          <t>Total Employer NI</t>
        </is>
      </c>
      <c r="C11" s="65">
        <f>CALC_ENGINE!T29</f>
        <v/>
      </c>
      <c r="D11" s="65">
        <f>CALC_ENGINE!AE29</f>
        <v/>
      </c>
      <c r="E11" s="65">
        <f>D11-C11</f>
        <v/>
      </c>
    </row>
    <row r="12" ht="18" customHeight="1">
      <c r="B12" s="95" t="inlineStr">
        <is>
          <t>Total Employer Cost</t>
        </is>
      </c>
      <c r="C12" s="32">
        <f>CALC_ENGINE!U29</f>
        <v/>
      </c>
      <c r="D12" s="32">
        <f>CALC_ENGINE!AI29</f>
        <v/>
      </c>
      <c r="E12" s="96">
        <f>D12-C12</f>
        <v/>
      </c>
    </row>
    <row r="13" ht="18" customHeight="1">
      <c r="B13" s="95" t="inlineStr">
        <is>
          <t>Total ER NI Saving</t>
        </is>
      </c>
      <c r="C13" s="97" t="inlineStr">
        <is>
          <t>N/A</t>
        </is>
      </c>
      <c r="D13" s="32">
        <f>CALC_ENGINE!AF29</f>
        <v/>
      </c>
      <c r="E13" s="96">
        <f>D13</f>
        <v/>
      </c>
    </row>
    <row r="14" ht="18" customHeight="1">
      <c r="B14" s="94" t="inlineStr">
        <is>
          <t>NI Saving Shared to EEs</t>
        </is>
      </c>
      <c r="C14" s="98" t="inlineStr">
        <is>
          <t>N/A</t>
        </is>
      </c>
      <c r="D14" s="52">
        <f>CALC_ENGINE!AG29</f>
        <v/>
      </c>
      <c r="E14" s="52">
        <f>D14</f>
        <v/>
      </c>
    </row>
    <row r="15" ht="18" customHeight="1">
      <c r="B15" s="93" t="inlineStr">
        <is>
          <t>NI Saving Retained/Reinvest</t>
        </is>
      </c>
      <c r="C15" s="99" t="inlineStr">
        <is>
          <t>N/A</t>
        </is>
      </c>
      <c r="D15" s="65">
        <f>CALC_ENGINE!AH29</f>
        <v/>
      </c>
      <c r="E15" s="65">
        <f>D15</f>
        <v/>
      </c>
    </row>
    <row r="16" ht="18" customHeight="1">
      <c r="B16" s="95" t="inlineStr">
        <is>
          <t>Total Pension Into Scheme</t>
        </is>
      </c>
      <c r="C16" s="32">
        <f>CALC_ENGINE!Q29+CALC_ENGINE!S29</f>
        <v/>
      </c>
      <c r="D16" s="32">
        <f>CALC_ENGINE!AB29+CALC_ENGINE!AD29</f>
        <v/>
      </c>
      <c r="E16" s="96">
        <f>D16-C16</f>
        <v/>
      </c>
    </row>
    <row r="19" ht="22" customHeight="1">
      <c r="B19" s="100" t="inlineStr">
        <is>
          <t>EMPLOYER NI SAVING BREAKDOWN</t>
        </is>
      </c>
      <c r="C19" s="101" t="n"/>
      <c r="D19" s="101" t="n"/>
      <c r="E19" s="102" t="n"/>
    </row>
    <row r="20">
      <c r="B20" s="92" t="inlineStr">
        <is>
          <t>Metric</t>
        </is>
      </c>
      <c r="C20" s="92" t="inlineStr">
        <is>
          <t>Annual £</t>
        </is>
      </c>
      <c r="D20" s="92" t="inlineStr">
        <is>
          <t>Monthly £</t>
        </is>
      </c>
      <c r="E20" s="92" t="inlineStr">
        <is>
          <t>Per Employee Avg £</t>
        </is>
      </c>
    </row>
    <row r="21" ht="18" customHeight="1">
      <c r="B21" s="93" t="inlineStr">
        <is>
          <t>Gross ER NI Saving</t>
        </is>
      </c>
      <c r="C21" s="65">
        <f>CALC_ENGINE!AF29</f>
        <v/>
      </c>
      <c r="D21" s="103">
        <f>C21/12</f>
        <v/>
      </c>
      <c r="E21" s="103">
        <f>C21/25</f>
        <v/>
      </c>
    </row>
    <row r="22" ht="18" customHeight="1">
      <c r="B22" s="94" t="inlineStr">
        <is>
          <t>NI Saving → Employees</t>
        </is>
      </c>
      <c r="C22" s="52">
        <f>CALC_ENGINE!AG29</f>
        <v/>
      </c>
      <c r="D22" s="104">
        <f>C22/12</f>
        <v/>
      </c>
      <c r="E22" s="104">
        <f>C22/25</f>
        <v/>
      </c>
    </row>
    <row r="23" ht="18" customHeight="1">
      <c r="B23" s="93" t="inlineStr">
        <is>
          <t>NI Saving → Retained/Reinvest</t>
        </is>
      </c>
      <c r="C23" s="65">
        <f>CALC_ENGINE!AH29</f>
        <v/>
      </c>
      <c r="D23" s="103">
        <f>C23/12</f>
        <v/>
      </c>
      <c r="E23" s="103">
        <f>C23/25</f>
        <v/>
      </c>
    </row>
    <row r="24" ht="18" customHeight="1">
      <c r="B24" s="94" t="inlineStr">
        <is>
          <t>Net ER NI Saving (retained)</t>
        </is>
      </c>
      <c r="C24" s="52">
        <f>CALC_ENGINE!AH29</f>
        <v/>
      </c>
      <c r="D24" s="104">
        <f>C24/12</f>
        <v/>
      </c>
      <c r="E24" s="104">
        <f>C24/25</f>
        <v/>
      </c>
    </row>
    <row r="27" ht="22" customHeight="1">
      <c r="B27" s="91" t="inlineStr">
        <is>
          <t>EMPLOYMENT ALLOWANCE IMPACT</t>
        </is>
      </c>
      <c r="C27" s="17" t="n"/>
      <c r="D27" s="17" t="n"/>
      <c r="E27" s="18" t="n"/>
    </row>
    <row r="28" ht="18" customHeight="1">
      <c r="B28" s="94" t="inlineStr">
        <is>
          <t>Employment Allowance Entitlement £</t>
        </is>
      </c>
      <c r="C28" s="52">
        <f>ASSUMPTIONS!$C$33</f>
        <v/>
      </c>
    </row>
    <row r="29" ht="18" customHeight="1">
      <c r="B29" s="93" t="inlineStr">
        <is>
          <t>ER NI Pre-Sacrifice £</t>
        </is>
      </c>
      <c r="C29" s="65">
        <f>CALC_ENGINE!T29</f>
        <v/>
      </c>
    </row>
    <row r="30" ht="18" customHeight="1">
      <c r="B30" s="94" t="inlineStr">
        <is>
          <t>ER NI Post-Sacrifice £</t>
        </is>
      </c>
      <c r="C30" s="52">
        <f>CALC_ENGINE!AE29</f>
        <v/>
      </c>
    </row>
    <row r="31" ht="18" customHeight="1">
      <c r="B31" s="93" t="inlineStr">
        <is>
          <t>EA Applied (Post) £</t>
        </is>
      </c>
      <c r="C31" s="65">
        <f>MIN(ASSUMPTIONS!$C$33,CALC_ENGINE!AE29)</f>
        <v/>
      </c>
    </row>
    <row r="32" ht="18" customHeight="1">
      <c r="B32" s="94" t="inlineStr">
        <is>
          <t>Net ER NI After EA £</t>
        </is>
      </c>
      <c r="C32" s="52">
        <f>MAX(0,CALC_ENGINE!AE29-ASSUMPTIONS!$C$33)</f>
        <v/>
      </c>
    </row>
    <row r="35" ht="22" customHeight="1">
      <c r="B35" s="91" t="inlineStr">
        <is>
          <t>AFFORDABILITY METRICS</t>
        </is>
      </c>
      <c r="C35" s="17" t="n"/>
      <c r="D35" s="17" t="n"/>
      <c r="E35" s="18" t="n"/>
    </row>
    <row r="36" ht="18" customHeight="1">
      <c r="B36" s="94" t="inlineStr">
        <is>
          <t>Total Employees</t>
        </is>
      </c>
      <c r="C36" s="105">
        <f>25</f>
        <v/>
      </c>
    </row>
    <row r="37" ht="18" customHeight="1">
      <c r="B37" s="93" t="inlineStr">
        <is>
          <t>Employees on Sacrifice</t>
        </is>
      </c>
      <c r="C37" s="106">
        <f>COUNTIF(CALC_ENGINE!K4:K28,"Yes")</f>
        <v/>
      </c>
    </row>
    <row r="38" ht="18" customHeight="1">
      <c r="B38" s="94" t="inlineStr">
        <is>
          <t>Participation Rate %</t>
        </is>
      </c>
      <c r="C38" s="56">
        <f>B37/B36</f>
        <v/>
      </c>
    </row>
    <row r="39" ht="18" customHeight="1">
      <c r="B39" s="93" t="inlineStr">
        <is>
          <t>ER NI Saving as % of Payroll</t>
        </is>
      </c>
      <c r="C39" s="67">
        <f>CALC_ENGINE!AF29/CALC_ENGINE!D29</f>
        <v/>
      </c>
    </row>
    <row r="40" ht="18" customHeight="1">
      <c r="B40" s="94" t="inlineStr">
        <is>
          <t>Avg Saving per Participating EE £</t>
        </is>
      </c>
      <c r="C40" s="52">
        <f>CALC_ENGINE!AF29/MAX(1,COUNTIF(CALC_ENGINE!K4:K28,"Yes"))</f>
        <v/>
      </c>
    </row>
    <row r="41" ht="18" customHeight="1">
      <c r="B41" s="93" t="inlineStr">
        <is>
          <t>Total Pension as % of Payroll</t>
        </is>
      </c>
      <c r="C41" s="67">
        <f>(CALC_ENGINE!AB29+CALC_ENGINE!AD29)/CALC_ENGINE!D29</f>
        <v/>
      </c>
    </row>
  </sheetData>
  <mergeCells count="5">
    <mergeCell ref="B27:E27"/>
    <mergeCell ref="B35:E35"/>
    <mergeCell ref="A1:F1"/>
    <mergeCell ref="B3:E3"/>
    <mergeCell ref="B19:E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" customWidth="1" min="12" max="12"/>
  </cols>
  <sheetData>
    <row r="1" ht="36" customHeight="1">
      <c r="A1" s="81" t="inlineStr">
        <is>
          <t>DEPARTMENT-LEVEL SUMMARY — Salary Sacrifice Impact by Business Unit</t>
        </is>
      </c>
    </row>
    <row r="3" ht="36" customHeight="1">
      <c r="B3" s="82" t="inlineStr">
        <is>
          <t>Department</t>
        </is>
      </c>
      <c r="C3" s="82" t="inlineStr">
        <is>
          <t>Headcount</t>
        </is>
      </c>
      <c r="D3" s="82" t="inlineStr">
        <is>
          <t>Total Salary £</t>
        </is>
      </c>
      <c r="E3" s="82" t="inlineStr">
        <is>
          <t>Sacrificed £</t>
        </is>
      </c>
      <c r="F3" s="82" t="inlineStr">
        <is>
          <t>EE Pension Post £</t>
        </is>
      </c>
      <c r="G3" s="82" t="inlineStr">
        <is>
          <t>ER Pension Post £</t>
        </is>
      </c>
      <c r="H3" s="82" t="inlineStr">
        <is>
          <t>Total Pension £</t>
        </is>
      </c>
      <c r="I3" s="82" t="inlineStr">
        <is>
          <t>ER NI Saving £</t>
        </is>
      </c>
      <c r="J3" s="82" t="inlineStr">
        <is>
          <t>EE Take-Home Chg £</t>
        </is>
      </c>
      <c r="K3" s="82" t="inlineStr">
        <is>
          <t>ER Cost Change £</t>
        </is>
      </c>
    </row>
    <row r="4" ht="18" customHeight="1">
      <c r="B4" s="107" t="inlineStr">
        <is>
          <t>Finance</t>
        </is>
      </c>
      <c r="C4" s="105">
        <f>COUNTIF(CALC_ENGINE!C4:CALC_ENGINE!C28,"Finance")</f>
        <v/>
      </c>
      <c r="D4" s="52">
        <f>SUMIF(CALC_ENGINE!C4:CALC_ENGINE!C28,"Finance",CALC_ENGINE!D4:CALC_ENGINE!D28)</f>
        <v/>
      </c>
      <c r="E4" s="52">
        <f>SUMIF(CALC_ENGINE!C4:CALC_ENGINE!C28,"Finance",CALC_ENGINE!V4:CALC_ENGINE!V28)</f>
        <v/>
      </c>
      <c r="F4" s="52">
        <f>SUMIF(CALC_ENGINE!C4:CALC_ENGINE!C28,"Finance",CALC_ENGINE!AB4:CALC_ENGINE!AB28)</f>
        <v/>
      </c>
      <c r="G4" s="52">
        <f>SUMIF(CALC_ENGINE!C4:CALC_ENGINE!C28,"Finance",CALC_ENGINE!AD4:CALC_ENGINE!AD28)</f>
        <v/>
      </c>
      <c r="H4" s="52">
        <f>SUMIF(CALC_ENGINE!C4:CALC_ENGINE!C28,"Finance",CALC_ENGINE!AO4:CALC_ENGINE!AO28)</f>
        <v/>
      </c>
      <c r="I4" s="52">
        <f>SUMIF(CALC_ENGINE!C4:CALC_ENGINE!C28,"Finance",CALC_ENGINE!AF4:CALC_ENGINE!AF28)</f>
        <v/>
      </c>
      <c r="J4" s="52">
        <f>SUMIF(CALC_ENGINE!C4:CALC_ENGINE!C28,"Finance",CALC_ENGINE!AJ4:CALC_ENGINE!AJ28)</f>
        <v/>
      </c>
      <c r="K4" s="52">
        <f>SUMIF(CALC_ENGINE!C4:CALC_ENGINE!C28,"Finance",CALC_ENGINE!AM4:CALC_ENGINE!AM28)</f>
        <v/>
      </c>
    </row>
    <row r="5" ht="18" customHeight="1">
      <c r="B5" s="108" t="inlineStr">
        <is>
          <t>HR</t>
        </is>
      </c>
      <c r="C5" s="106">
        <f>COUNTIF(CALC_ENGINE!C4:CALC_ENGINE!C28,"HR")</f>
        <v/>
      </c>
      <c r="D5" s="65">
        <f>SUMIF(CALC_ENGINE!C4:CALC_ENGINE!C28,"HR",CALC_ENGINE!D4:CALC_ENGINE!D28)</f>
        <v/>
      </c>
      <c r="E5" s="65">
        <f>SUMIF(CALC_ENGINE!C4:CALC_ENGINE!C28,"HR",CALC_ENGINE!V4:CALC_ENGINE!V28)</f>
        <v/>
      </c>
      <c r="F5" s="65">
        <f>SUMIF(CALC_ENGINE!C4:CALC_ENGINE!C28,"HR",CALC_ENGINE!AB4:CALC_ENGINE!AB28)</f>
        <v/>
      </c>
      <c r="G5" s="65">
        <f>SUMIF(CALC_ENGINE!C4:CALC_ENGINE!C28,"HR",CALC_ENGINE!AD4:CALC_ENGINE!AD28)</f>
        <v/>
      </c>
      <c r="H5" s="65">
        <f>SUMIF(CALC_ENGINE!C4:CALC_ENGINE!C28,"HR",CALC_ENGINE!AO4:CALC_ENGINE!AO28)</f>
        <v/>
      </c>
      <c r="I5" s="65">
        <f>SUMIF(CALC_ENGINE!C4:CALC_ENGINE!C28,"HR",CALC_ENGINE!AF4:CALC_ENGINE!AF28)</f>
        <v/>
      </c>
      <c r="J5" s="65">
        <f>SUMIF(CALC_ENGINE!C4:CALC_ENGINE!C28,"HR",CALC_ENGINE!AJ4:CALC_ENGINE!AJ28)</f>
        <v/>
      </c>
      <c r="K5" s="65">
        <f>SUMIF(CALC_ENGINE!C4:CALC_ENGINE!C28,"HR",CALC_ENGINE!AM4:CALC_ENGINE!AM28)</f>
        <v/>
      </c>
    </row>
    <row r="6" ht="18" customHeight="1">
      <c r="B6" s="107" t="inlineStr">
        <is>
          <t>Operations</t>
        </is>
      </c>
      <c r="C6" s="105">
        <f>COUNTIF(CALC_ENGINE!C4:CALC_ENGINE!C28,"Operations")</f>
        <v/>
      </c>
      <c r="D6" s="52">
        <f>SUMIF(CALC_ENGINE!C4:CALC_ENGINE!C28,"Operations",CALC_ENGINE!D4:CALC_ENGINE!D28)</f>
        <v/>
      </c>
      <c r="E6" s="52">
        <f>SUMIF(CALC_ENGINE!C4:CALC_ENGINE!C28,"Operations",CALC_ENGINE!V4:CALC_ENGINE!V28)</f>
        <v/>
      </c>
      <c r="F6" s="52">
        <f>SUMIF(CALC_ENGINE!C4:CALC_ENGINE!C28,"Operations",CALC_ENGINE!AB4:CALC_ENGINE!AB28)</f>
        <v/>
      </c>
      <c r="G6" s="52">
        <f>SUMIF(CALC_ENGINE!C4:CALC_ENGINE!C28,"Operations",CALC_ENGINE!AD4:CALC_ENGINE!AD28)</f>
        <v/>
      </c>
      <c r="H6" s="52">
        <f>SUMIF(CALC_ENGINE!C4:CALC_ENGINE!C28,"Operations",CALC_ENGINE!AO4:CALC_ENGINE!AO28)</f>
        <v/>
      </c>
      <c r="I6" s="52">
        <f>SUMIF(CALC_ENGINE!C4:CALC_ENGINE!C28,"Operations",CALC_ENGINE!AF4:CALC_ENGINE!AF28)</f>
        <v/>
      </c>
      <c r="J6" s="52">
        <f>SUMIF(CALC_ENGINE!C4:CALC_ENGINE!C28,"Operations",CALC_ENGINE!AJ4:CALC_ENGINE!AJ28)</f>
        <v/>
      </c>
      <c r="K6" s="52">
        <f>SUMIF(CALC_ENGINE!C4:CALC_ENGINE!C28,"Operations",CALC_ENGINE!AM4:CALC_ENGINE!AM28)</f>
        <v/>
      </c>
    </row>
    <row r="7" ht="18" customHeight="1">
      <c r="B7" s="108" t="inlineStr">
        <is>
          <t>Sales</t>
        </is>
      </c>
      <c r="C7" s="106">
        <f>COUNTIF(CALC_ENGINE!C4:CALC_ENGINE!C28,"Sales")</f>
        <v/>
      </c>
      <c r="D7" s="65">
        <f>SUMIF(CALC_ENGINE!C4:CALC_ENGINE!C28,"Sales",CALC_ENGINE!D4:CALC_ENGINE!D28)</f>
        <v/>
      </c>
      <c r="E7" s="65">
        <f>SUMIF(CALC_ENGINE!C4:CALC_ENGINE!C28,"Sales",CALC_ENGINE!V4:CALC_ENGINE!V28)</f>
        <v/>
      </c>
      <c r="F7" s="65">
        <f>SUMIF(CALC_ENGINE!C4:CALC_ENGINE!C28,"Sales",CALC_ENGINE!AB4:CALC_ENGINE!AB28)</f>
        <v/>
      </c>
      <c r="G7" s="65">
        <f>SUMIF(CALC_ENGINE!C4:CALC_ENGINE!C28,"Sales",CALC_ENGINE!AD4:CALC_ENGINE!AD28)</f>
        <v/>
      </c>
      <c r="H7" s="65">
        <f>SUMIF(CALC_ENGINE!C4:CALC_ENGINE!C28,"Sales",CALC_ENGINE!AO4:CALC_ENGINE!AO28)</f>
        <v/>
      </c>
      <c r="I7" s="65">
        <f>SUMIF(CALC_ENGINE!C4:CALC_ENGINE!C28,"Sales",CALC_ENGINE!AF4:CALC_ENGINE!AF28)</f>
        <v/>
      </c>
      <c r="J7" s="65">
        <f>SUMIF(CALC_ENGINE!C4:CALC_ENGINE!C28,"Sales",CALC_ENGINE!AJ4:CALC_ENGINE!AJ28)</f>
        <v/>
      </c>
      <c r="K7" s="65">
        <f>SUMIF(CALC_ENGINE!C4:CALC_ENGINE!C28,"Sales",CALC_ENGINE!AM4:CALC_ENGINE!AM28)</f>
        <v/>
      </c>
    </row>
    <row r="8" ht="18" customHeight="1">
      <c r="B8" s="107" t="inlineStr">
        <is>
          <t>Tech</t>
        </is>
      </c>
      <c r="C8" s="105">
        <f>COUNTIF(CALC_ENGINE!C4:CALC_ENGINE!C28,"Tech")</f>
        <v/>
      </c>
      <c r="D8" s="52">
        <f>SUMIF(CALC_ENGINE!C4:CALC_ENGINE!C28,"Tech",CALC_ENGINE!D4:CALC_ENGINE!D28)</f>
        <v/>
      </c>
      <c r="E8" s="52">
        <f>SUMIF(CALC_ENGINE!C4:CALC_ENGINE!C28,"Tech",CALC_ENGINE!V4:CALC_ENGINE!V28)</f>
        <v/>
      </c>
      <c r="F8" s="52">
        <f>SUMIF(CALC_ENGINE!C4:CALC_ENGINE!C28,"Tech",CALC_ENGINE!AB4:CALC_ENGINE!AB28)</f>
        <v/>
      </c>
      <c r="G8" s="52">
        <f>SUMIF(CALC_ENGINE!C4:CALC_ENGINE!C28,"Tech",CALC_ENGINE!AD4:CALC_ENGINE!AD28)</f>
        <v/>
      </c>
      <c r="H8" s="52">
        <f>SUMIF(CALC_ENGINE!C4:CALC_ENGINE!C28,"Tech",CALC_ENGINE!AO4:CALC_ENGINE!AO28)</f>
        <v/>
      </c>
      <c r="I8" s="52">
        <f>SUMIF(CALC_ENGINE!C4:CALC_ENGINE!C28,"Tech",CALC_ENGINE!AF4:CALC_ENGINE!AF28)</f>
        <v/>
      </c>
      <c r="J8" s="52">
        <f>SUMIF(CALC_ENGINE!C4:CALC_ENGINE!C28,"Tech",CALC_ENGINE!AJ4:CALC_ENGINE!AJ28)</f>
        <v/>
      </c>
      <c r="K8" s="52">
        <f>SUMIF(CALC_ENGINE!C4:CALC_ENGINE!C28,"Tech",CALC_ENGINE!AM4:CALC_ENGINE!AM28)</f>
        <v/>
      </c>
    </row>
    <row r="9" ht="24" customHeight="1">
      <c r="B9" s="78" t="inlineStr">
        <is>
          <t>COMPANY TOTAL</t>
        </is>
      </c>
      <c r="C9" s="109">
        <f>SUM(C4:C8)</f>
        <v/>
      </c>
      <c r="D9" s="79">
        <f>SUM(D4:D8)</f>
        <v/>
      </c>
      <c r="E9" s="79">
        <f>SUM(E4:E8)</f>
        <v/>
      </c>
      <c r="F9" s="79">
        <f>SUM(F4:F8)</f>
        <v/>
      </c>
      <c r="G9" s="79">
        <f>SUM(G4:G8)</f>
        <v/>
      </c>
      <c r="H9" s="79">
        <f>SUM(H4:H8)</f>
        <v/>
      </c>
      <c r="I9" s="79">
        <f>SUM(I4:I8)</f>
        <v/>
      </c>
      <c r="J9" s="79">
        <f>SUM(J4:J8)</f>
        <v/>
      </c>
      <c r="K9" s="79">
        <f>SUM(K4:K8)</f>
        <v/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81" t="inlineStr">
        <is>
          <t>SCENARIO COMPARISON — Side-by-Side Analysis of 4 Contribution Structures</t>
        </is>
      </c>
    </row>
    <row r="3" ht="22" customHeight="1">
      <c r="B3" s="91" t="inlineStr">
        <is>
          <t>SCENARIO DEFINITIONS (Edit EE/ER Rates)</t>
        </is>
      </c>
      <c r="C3" s="17" t="n"/>
      <c r="D3" s="17" t="n"/>
      <c r="E3" s="17" t="n"/>
      <c r="F3" s="17" t="n"/>
      <c r="G3" s="17" t="n"/>
      <c r="H3" s="17" t="n"/>
      <c r="I3" s="18" t="n"/>
    </row>
    <row r="4" ht="44" customHeight="1">
      <c r="B4" s="92" t="inlineStr">
        <is>
          <t>Parameter</t>
        </is>
      </c>
      <c r="C4" s="82" t="inlineStr">
        <is>
          <t>Scenario 1
Base (5%/3%)</t>
        </is>
      </c>
      <c r="D4" s="83" t="inlineStr">
        <is>
          <t>Scenario 2
Enhanced (6%/4%)</t>
        </is>
      </c>
      <c r="E4" s="110" t="inlineStr">
        <is>
          <t>Scenario 3
Max SS (10%/5%)</t>
        </is>
      </c>
      <c r="F4" s="111" t="inlineStr">
        <is>
          <t>Scenario 4
No Sacrifice</t>
        </is>
      </c>
    </row>
    <row r="5" ht="18" customHeight="1">
      <c r="B5" s="93" t="inlineStr">
        <is>
          <t>EE Contribution Rate</t>
        </is>
      </c>
      <c r="C5" s="33" t="n">
        <v>0.05</v>
      </c>
      <c r="D5" s="33" t="n">
        <v>0.06</v>
      </c>
      <c r="E5" s="33" t="n">
        <v>0.1</v>
      </c>
      <c r="F5" s="33" t="n">
        <v>0.05</v>
      </c>
    </row>
    <row r="6" ht="18" customHeight="1">
      <c r="B6" s="94" t="inlineStr">
        <is>
          <t>ER Contribution Rate</t>
        </is>
      </c>
      <c r="C6" s="33" t="n">
        <v>0.03</v>
      </c>
      <c r="D6" s="33" t="n">
        <v>0.04</v>
      </c>
      <c r="E6" s="33" t="n">
        <v>0.05</v>
      </c>
      <c r="F6" s="33" t="n">
        <v>0.03</v>
      </c>
    </row>
    <row r="7" ht="18" customHeight="1">
      <c r="B7" s="93" t="inlineStr">
        <is>
          <t>Salary Sacrifice Active</t>
        </is>
      </c>
      <c r="C7" s="112" t="inlineStr">
        <is>
          <t>Yes</t>
        </is>
      </c>
      <c r="D7" s="112" t="inlineStr">
        <is>
          <t>Yes</t>
        </is>
      </c>
      <c r="E7" s="112" t="inlineStr">
        <is>
          <t>Yes</t>
        </is>
      </c>
      <c r="F7" s="112" t="inlineStr">
        <is>
          <t>No</t>
        </is>
      </c>
    </row>
    <row r="8" ht="18" customHeight="1">
      <c r="B8" s="94" t="inlineStr">
        <is>
          <t>Pension Basis</t>
        </is>
      </c>
      <c r="C8" s="112" t="inlineStr">
        <is>
          <t>QE</t>
        </is>
      </c>
      <c r="D8" s="112" t="inlineStr">
        <is>
          <t>QE</t>
        </is>
      </c>
      <c r="E8" s="112" t="inlineStr">
        <is>
          <t>Full Salary</t>
        </is>
      </c>
      <c r="F8" s="112" t="inlineStr">
        <is>
          <t>Full Salary</t>
        </is>
      </c>
    </row>
    <row r="9" ht="18" customHeight="1">
      <c r="B9" s="93" t="inlineStr">
        <is>
          <t>ER NI Saving Treatment</t>
        </is>
      </c>
      <c r="C9" s="112" t="inlineStr">
        <is>
          <t>Share</t>
        </is>
      </c>
      <c r="D9" s="112" t="inlineStr">
        <is>
          <t>Share</t>
        </is>
      </c>
      <c r="E9" s="112" t="inlineStr">
        <is>
          <t>Retain</t>
        </is>
      </c>
      <c r="F9" s="112" t="inlineStr">
        <is>
          <t>N/A</t>
        </is>
      </c>
    </row>
    <row r="10" ht="18" customHeight="1">
      <c r="B10" s="94" t="inlineStr">
        <is>
          <t>NI Share % to Employees</t>
        </is>
      </c>
      <c r="C10" s="33" t="n">
        <v>0.5</v>
      </c>
      <c r="D10" s="33" t="n">
        <v>0.5</v>
      </c>
      <c r="E10" s="33" t="n">
        <v>0</v>
      </c>
      <c r="F10" s="33" t="n">
        <v>0</v>
      </c>
    </row>
    <row r="13" ht="22" customHeight="1">
      <c r="B13" s="113" t="inlineStr">
        <is>
          <t>PROJECTED COMPANY-WIDE OUTCOMES</t>
        </is>
      </c>
      <c r="C13" s="114" t="n"/>
      <c r="D13" s="114" t="n"/>
      <c r="E13" s="114" t="n"/>
      <c r="F13" s="114" t="n"/>
      <c r="G13" s="114" t="n"/>
      <c r="H13" s="114" t="n"/>
      <c r="I13" s="115" t="n"/>
    </row>
    <row r="14" ht="28" customHeight="1">
      <c r="B14" s="92" t="inlineStr">
        <is>
          <t>Metric</t>
        </is>
      </c>
      <c r="C14" s="82" t="inlineStr">
        <is>
          <t>Scenario 1</t>
        </is>
      </c>
      <c r="D14" s="83" t="inlineStr">
        <is>
          <t>Scenario 2</t>
        </is>
      </c>
      <c r="E14" s="110" t="inlineStr">
        <is>
          <t>Scenario 3</t>
        </is>
      </c>
      <c r="F14" s="111" t="inlineStr">
        <is>
          <t>Scenario 4</t>
        </is>
      </c>
    </row>
    <row r="15" ht="24" customHeight="1">
      <c r="B15" s="108" t="inlineStr">
        <is>
          <t>Total Employee Take-Home £</t>
        </is>
      </c>
      <c r="C15" s="32">
        <f>CALC_ENGINE!R29</f>
        <v/>
      </c>
      <c r="D15" s="116" t="inlineStr">
        <is>
          <t>See Sc2 tab
(copy engine)</t>
        </is>
      </c>
      <c r="E15" s="116" t="inlineStr">
        <is>
          <t>See Sc3 tab
(copy engine)</t>
        </is>
      </c>
      <c r="F15" s="116" t="inlineStr">
        <is>
          <t>N/A — No SS</t>
        </is>
      </c>
    </row>
    <row r="16" ht="24" customHeight="1">
      <c r="B16" s="94" t="inlineStr">
        <is>
          <t>Total PAYE Tax £</t>
        </is>
      </c>
      <c r="C16" s="32">
        <f>CALC_ENGINE!O29</f>
        <v/>
      </c>
      <c r="D16" s="116" t="inlineStr">
        <is>
          <t>See Sc2 tab
(copy engine)</t>
        </is>
      </c>
      <c r="E16" s="116" t="inlineStr">
        <is>
          <t>See Sc3 tab
(copy engine)</t>
        </is>
      </c>
      <c r="F16" s="116" t="inlineStr">
        <is>
          <t>N/A — No SS</t>
        </is>
      </c>
    </row>
    <row r="17" ht="24" customHeight="1">
      <c r="B17" s="93" t="inlineStr">
        <is>
          <t>Total Employee NI £</t>
        </is>
      </c>
      <c r="C17" s="32">
        <f>CALC_ENGINE!P29</f>
        <v/>
      </c>
      <c r="D17" s="116" t="inlineStr">
        <is>
          <t>See Sc2 tab
(copy engine)</t>
        </is>
      </c>
      <c r="E17" s="116" t="inlineStr">
        <is>
          <t>See Sc3 tab
(copy engine)</t>
        </is>
      </c>
      <c r="F17" s="116" t="inlineStr">
        <is>
          <t>N/A — No SS</t>
        </is>
      </c>
    </row>
    <row r="18" ht="24" customHeight="1">
      <c r="B18" s="94" t="inlineStr">
        <is>
          <t>Total EE Pension £</t>
        </is>
      </c>
      <c r="C18" s="32">
        <f>CALC_ENGINE!AB29</f>
        <v/>
      </c>
      <c r="D18" s="116" t="inlineStr">
        <is>
          <t>See Sc2 tab
(copy engine)</t>
        </is>
      </c>
      <c r="E18" s="116" t="inlineStr">
        <is>
          <t>See Sc3 tab
(copy engine)</t>
        </is>
      </c>
      <c r="F18" s="116" t="inlineStr">
        <is>
          <t>N/A — No SS</t>
        </is>
      </c>
    </row>
    <row r="19" ht="24" customHeight="1">
      <c r="B19" s="93" t="inlineStr">
        <is>
          <t>Total ER Pension £</t>
        </is>
      </c>
      <c r="C19" s="32">
        <f>CALC_ENGINE!AD29</f>
        <v/>
      </c>
      <c r="D19" s="116" t="inlineStr">
        <is>
          <t>See Sc2 tab
(copy engine)</t>
        </is>
      </c>
      <c r="E19" s="116" t="inlineStr">
        <is>
          <t>See Sc3 tab
(copy engine)</t>
        </is>
      </c>
      <c r="F19" s="116" t="inlineStr">
        <is>
          <t>N/A — No SS</t>
        </is>
      </c>
    </row>
    <row r="20" ht="24" customHeight="1">
      <c r="B20" s="107" t="inlineStr">
        <is>
          <t>Total Pension to Scheme £</t>
        </is>
      </c>
      <c r="C20" s="32">
        <f>CALC_ENGINE!AB29+CALC_ENGINE!AD29</f>
        <v/>
      </c>
      <c r="D20" s="116" t="inlineStr">
        <is>
          <t>See Sc2 tab
(copy engine)</t>
        </is>
      </c>
      <c r="E20" s="116" t="inlineStr">
        <is>
          <t>See Sc3 tab
(copy engine)</t>
        </is>
      </c>
      <c r="F20" s="116" t="inlineStr">
        <is>
          <t>N/A — No SS</t>
        </is>
      </c>
    </row>
    <row r="21" ht="24" customHeight="1">
      <c r="B21" s="93" t="inlineStr">
        <is>
          <t>Total Employer NI £</t>
        </is>
      </c>
      <c r="C21" s="32">
        <f>CALC_ENGINE!AE29</f>
        <v/>
      </c>
      <c r="D21" s="116" t="inlineStr">
        <is>
          <t>See Sc2 tab
(copy engine)</t>
        </is>
      </c>
      <c r="E21" s="116" t="inlineStr">
        <is>
          <t>See Sc3 tab
(copy engine)</t>
        </is>
      </c>
      <c r="F21" s="116" t="inlineStr">
        <is>
          <t>N/A — No SS</t>
        </is>
      </c>
    </row>
    <row r="22" ht="24" customHeight="1">
      <c r="B22" s="107" t="inlineStr">
        <is>
          <t>Total Employer Cost £</t>
        </is>
      </c>
      <c r="C22" s="32">
        <f>CALC_ENGINE!AI29</f>
        <v/>
      </c>
      <c r="D22" s="116" t="inlineStr">
        <is>
          <t>See Sc2 tab
(copy engine)</t>
        </is>
      </c>
      <c r="E22" s="116" t="inlineStr">
        <is>
          <t>See Sc3 tab
(copy engine)</t>
        </is>
      </c>
      <c r="F22" s="116" t="inlineStr">
        <is>
          <t>N/A — No SS</t>
        </is>
      </c>
    </row>
    <row r="23" ht="24" customHeight="1">
      <c r="B23" s="93" t="inlineStr">
        <is>
          <t>ER NI Saving £</t>
        </is>
      </c>
      <c r="C23" s="32">
        <f>CALC_ENGINE!AF29</f>
        <v/>
      </c>
      <c r="D23" s="116" t="inlineStr">
        <is>
          <t>See Sc2 tab
(copy engine)</t>
        </is>
      </c>
      <c r="E23" s="116" t="inlineStr">
        <is>
          <t>See Sc3 tab
(copy engine)</t>
        </is>
      </c>
      <c r="F23" s="116" t="inlineStr">
        <is>
          <t>N/A — No SS</t>
        </is>
      </c>
    </row>
    <row r="24" ht="24" customHeight="1">
      <c r="B24" s="107" t="inlineStr">
        <is>
          <t>EE Take-Home Change vs Pre £</t>
        </is>
      </c>
      <c r="C24" s="32">
        <f>CALC_ENGINE!AJ29</f>
        <v/>
      </c>
      <c r="D24" s="116" t="inlineStr">
        <is>
          <t>See Sc2 tab
(copy engine)</t>
        </is>
      </c>
      <c r="E24" s="116" t="inlineStr">
        <is>
          <t>See Sc3 tab
(copy engine)</t>
        </is>
      </c>
      <c r="F24" s="116" t="inlineStr">
        <is>
          <t>N/A — No SS</t>
        </is>
      </c>
    </row>
    <row r="25" ht="24" customHeight="1">
      <c r="B25" s="93" t="inlineStr">
        <is>
          <t>ER Cost Change vs Pre £</t>
        </is>
      </c>
      <c r="C25" s="32">
        <f>CALC_ENGINE!AM29</f>
        <v/>
      </c>
      <c r="D25" s="116" t="inlineStr">
        <is>
          <t>See Sc2 tab
(copy engine)</t>
        </is>
      </c>
      <c r="E25" s="116" t="inlineStr">
        <is>
          <t>See Sc3 tab
(copy engine)</t>
        </is>
      </c>
      <c r="F25" s="116" t="inlineStr">
        <is>
          <t>N/A — No SS</t>
        </is>
      </c>
    </row>
    <row r="28" ht="50" customHeight="1">
      <c r="B28" s="117" t="inlineStr">
        <is>
          <t>USAGE NOTE: To fully populate Scenarios 2-4, duplicate the CALC_ENGINE sheet, rename it CALC_ENGINE_SC2 etc., then update the EE/ER rates in ASSUMPTIONS (or override per-employee in EMPLOYEE_DATA) and reference those totals rows here. The ASSUMPTIONS sheet switches Scenario 1 rates.</t>
        </is>
      </c>
    </row>
  </sheetData>
  <mergeCells count="4">
    <mergeCell ref="B13:I13"/>
    <mergeCell ref="A1:J1"/>
    <mergeCell ref="B28:J28"/>
    <mergeCell ref="B3:I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0" customWidth="1" min="3" max="3"/>
    <col width="20" customWidth="1" min="4" max="4"/>
    <col width="20" customWidth="1" min="5" max="5"/>
    <col width="2" customWidth="1" min="6" max="6"/>
  </cols>
  <sheetData>
    <row r="1" ht="36" customHeight="1">
      <c r="A1" s="118" t="inlineStr">
        <is>
          <t>AUDIT &amp; ERROR CHECKS — Model Integrity Validation</t>
        </is>
      </c>
    </row>
    <row r="3" ht="22" customHeight="1">
      <c r="B3" s="91" t="inlineStr">
        <is>
          <t>STRUCTURAL CHECKS</t>
        </is>
      </c>
      <c r="C3" s="17" t="n"/>
      <c r="D3" s="17" t="n"/>
      <c r="E3" s="18" t="n"/>
    </row>
    <row r="4" ht="24" customHeight="1">
      <c r="B4" s="92" t="inlineStr">
        <is>
          <t>Check</t>
        </is>
      </c>
      <c r="C4" s="92" t="inlineStr">
        <is>
          <t>Result</t>
        </is>
      </c>
      <c r="D4" s="92" t="inlineStr">
        <is>
          <t>Expected</t>
        </is>
      </c>
      <c r="E4" s="92" t="inlineStr">
        <is>
          <t>Status</t>
        </is>
      </c>
    </row>
    <row r="5" ht="18" customHeight="1">
      <c r="B5" s="93" t="inlineStr">
        <is>
          <t>Employee count in CALC_ENGINE</t>
        </is>
      </c>
      <c r="C5" s="106">
        <f>COUNTA(CALC_ENGINE!A4:A28)</f>
        <v/>
      </c>
      <c r="D5" s="99" t="n">
        <v>25</v>
      </c>
      <c r="E5" s="119">
        <f>IF(C5=D5,"✓ PASS","✗ FAIL")</f>
        <v/>
      </c>
    </row>
    <row r="6" ht="18" customHeight="1">
      <c r="B6" s="94" t="inlineStr">
        <is>
          <t>Total EE Pension Pre ≥ 0</t>
        </is>
      </c>
      <c r="C6" s="52">
        <f>CALC_ENGINE!Q29</f>
        <v/>
      </c>
      <c r="D6" s="98" t="inlineStr">
        <is>
          <t>&gt;= 0</t>
        </is>
      </c>
      <c r="E6" s="119">
        <f>IF(C6&gt;=0,"✓ PASS","✗ FAIL")</f>
        <v/>
      </c>
    </row>
    <row r="7" ht="18" customHeight="1">
      <c r="B7" s="93" t="inlineStr">
        <is>
          <t>Total ER NI Saving ≥ 0</t>
        </is>
      </c>
      <c r="C7" s="65">
        <f>CALC_ENGINE!AF29</f>
        <v/>
      </c>
      <c r="D7" s="99" t="inlineStr">
        <is>
          <t>&gt;= 0</t>
        </is>
      </c>
      <c r="E7" s="119">
        <f>IF(C7&gt;=0,"✓ PASS","✗ FAIL")</f>
        <v/>
      </c>
    </row>
    <row r="8" ht="18" customHeight="1">
      <c r="B8" s="94" t="inlineStr">
        <is>
          <t>Post-sac take-home ≥ pre for all EEs (check count)</t>
        </is>
      </c>
      <c r="C8" s="105">
        <f>COUNTIF(CALC_ENGINE!AJ4:AJ28,"&gt;=0")</f>
        <v/>
      </c>
      <c r="D8" s="98" t="n">
        <v>25</v>
      </c>
      <c r="E8" s="119">
        <f>IF(C8=D8,"✓ All EEs better off","⚠ Some EEs worse off")</f>
        <v/>
      </c>
    </row>
    <row r="9" ht="18" customHeight="1">
      <c r="B9" s="93" t="inlineStr">
        <is>
          <t>Annual Allowance breaches (count)</t>
        </is>
      </c>
      <c r="C9" s="106">
        <f>COUNTIF(CALC_ENGINE!AP4:AP28,"&lt;0")</f>
        <v/>
      </c>
      <c r="D9" s="99" t="n">
        <v>0</v>
      </c>
      <c r="E9" s="119">
        <f>IF(C9=0,"✓ No AA breaches","✗ " &amp; C9 &amp; " AA breach(es)")</f>
        <v/>
      </c>
    </row>
    <row r="10" ht="18" customHeight="1">
      <c r="B10" s="94" t="inlineStr">
        <is>
          <t>Sacrifice &gt; Salary (count)</t>
        </is>
      </c>
      <c r="C10" s="52">
        <f>SUMPRODUCT((CALC_ENGINE!V4:V28&gt;CALC_ENGINE!D4:D28)*1)</f>
        <v/>
      </c>
      <c r="D10" s="98" t="n">
        <v>0</v>
      </c>
      <c r="E10" s="119">
        <f>IF(C10=0,"✓ PASS","✗ " &amp; C10 &amp; " employee(s) over-sacrificed")</f>
        <v/>
      </c>
    </row>
    <row r="11" ht="18" customHeight="1">
      <c r="B11" s="93" t="inlineStr">
        <is>
          <t>Negative take-home (count)</t>
        </is>
      </c>
      <c r="C11" s="106">
        <f>COUNTIF(CALC_ENGINE!AC4:AC28,"&lt;0")</f>
        <v/>
      </c>
      <c r="D11" s="99" t="n">
        <v>0</v>
      </c>
      <c r="E11" s="119">
        <f>IF(C11=0,"✓ PASS","✗ " &amp; C11 &amp; " negative take-home(s)")</f>
        <v/>
      </c>
    </row>
    <row r="12" ht="18" customHeight="1">
      <c r="B12" s="94" t="inlineStr">
        <is>
          <t>ER Pension ≥ EE Pension legally (informational)</t>
        </is>
      </c>
      <c r="C12" s="52">
        <f>CALC_ENGINE!AD29</f>
        <v/>
      </c>
      <c r="D12" s="98" t="inlineStr">
        <is>
          <t>Info only</t>
        </is>
      </c>
      <c r="E12" s="119" t="inlineStr">
        <is>
          <t>"See note"</t>
        </is>
      </c>
    </row>
    <row r="13" ht="18" customHeight="1">
      <c r="B13" s="93" t="inlineStr">
        <is>
          <t>Post-sac gross = pre gross - sacrifice (total check)</t>
        </is>
      </c>
      <c r="C13" s="65">
        <f>ROUND(CALC_ENGINE!W29-(CALC_ENGINE!L29-CALC_ENGINE!V29),0)</f>
        <v/>
      </c>
      <c r="D13" s="99" t="n">
        <v>0</v>
      </c>
      <c r="E13" s="119">
        <f>IF(ABS(C13)&lt;1,"✓ PASS","✗ Rounding error: "&amp;C13)</f>
        <v/>
      </c>
    </row>
    <row r="14" ht="18" customHeight="1">
      <c r="B14" s="94" t="inlineStr">
        <is>
          <t>EE NI saving is positive (all SS)</t>
        </is>
      </c>
      <c r="C14" s="52">
        <f>SUMPRODUCT((CALC_ENGINE!K4:K28="Yes")*(CALC_ENGINE!P4:P28-CALC_ENGINE!AA4:AA28&gt;=-1)*1)</f>
        <v/>
      </c>
      <c r="D14" s="98">
        <f>COUNTIF(CALC_ENGINE!K4:K28,"Yes")</f>
        <v/>
      </c>
      <c r="E14" s="119">
        <f>IF(C14=D14,"✓ PASS","⚠ Check EE NI calcs")</f>
        <v/>
      </c>
    </row>
    <row r="17" ht="22" customHeight="1">
      <c r="B17" s="91" t="inlineStr">
        <is>
          <t>KEY ASSUMPTIONS AUDIT TRAIL</t>
        </is>
      </c>
      <c r="C17" s="17" t="n"/>
      <c r="D17" s="17" t="n"/>
      <c r="E17" s="18" t="n"/>
    </row>
    <row r="18" ht="24" customHeight="1">
      <c r="B18" s="92" t="inlineStr">
        <is>
          <t>Assumption</t>
        </is>
      </c>
      <c r="C18" s="92" t="inlineStr">
        <is>
          <t>Current Value</t>
        </is>
      </c>
      <c r="D18" s="92" t="inlineStr">
        <is>
          <t>Legal Minimum</t>
        </is>
      </c>
      <c r="E18" s="92" t="inlineStr">
        <is>
          <t>Status</t>
        </is>
      </c>
    </row>
    <row r="19" ht="18" customHeight="1">
      <c r="B19" s="93" t="inlineStr">
        <is>
          <t>Personal Allowance £</t>
        </is>
      </c>
      <c r="C19" s="55">
        <f>ASSUMPTIONS!C15</f>
        <v/>
      </c>
      <c r="D19" s="65" t="n">
        <v>12570</v>
      </c>
      <c r="E19" s="119">
        <f>IF(C19&gt;=12570,"✓","⚠ Check")</f>
        <v/>
      </c>
    </row>
    <row r="20" ht="18" customHeight="1">
      <c r="B20" s="94" t="inlineStr">
        <is>
          <t>Basic Rate %</t>
        </is>
      </c>
      <c r="C20" s="62">
        <f>ASSUMPTIONS!E15</f>
        <v/>
      </c>
      <c r="D20" s="56" t="n">
        <v>0.2</v>
      </c>
      <c r="E20" s="119">
        <f>IF(C20=0.2,"✓","⚠ Verify")</f>
        <v/>
      </c>
    </row>
    <row r="21" ht="18" customHeight="1">
      <c r="B21" s="93" t="inlineStr">
        <is>
          <t>ER NI Rate %</t>
        </is>
      </c>
      <c r="C21" s="62">
        <f>ASSUMPTIONS!E32</f>
        <v/>
      </c>
      <c r="D21" s="67" t="n">
        <v>0.138</v>
      </c>
      <c r="E21" s="119">
        <f>IF(C21=0.138,"✓","⚠ Verify")</f>
        <v/>
      </c>
    </row>
    <row r="22" ht="18" customHeight="1">
      <c r="B22" s="94" t="inlineStr">
        <is>
          <t>QE Lower Limit £</t>
        </is>
      </c>
      <c r="C22" s="55">
        <f>ASSUMPTIONS!C38</f>
        <v/>
      </c>
      <c r="D22" s="52" t="n">
        <v>6240</v>
      </c>
      <c r="E22" s="119">
        <f>IF(C22&gt;=6240,"✓","⚠ Below min")</f>
        <v/>
      </c>
    </row>
    <row r="23" ht="18" customHeight="1">
      <c r="B23" s="93" t="inlineStr">
        <is>
          <t>QE Upper Limit £</t>
        </is>
      </c>
      <c r="C23" s="55">
        <f>ASSUMPTIONS!C39</f>
        <v/>
      </c>
      <c r="D23" s="65" t="n">
        <v>50270</v>
      </c>
      <c r="E23" s="119">
        <f>IF(C23&lt;=50270,"✓","⚠ Above max")</f>
        <v/>
      </c>
    </row>
    <row r="24" ht="18" customHeight="1">
      <c r="B24" s="94" t="inlineStr">
        <is>
          <t>Auto-enrol Min EE %</t>
        </is>
      </c>
      <c r="C24" s="62">
        <f>ASSUMPTIONS!C46</f>
        <v/>
      </c>
      <c r="D24" s="56" t="n">
        <v>0.05</v>
      </c>
      <c r="E24" s="119">
        <f>IF(C24&gt;=0.05,"✓ Meets AE min","⚠ Below AE minimum")</f>
        <v/>
      </c>
    </row>
    <row r="25" ht="18" customHeight="1">
      <c r="B25" s="93" t="inlineStr">
        <is>
          <t>Auto-enrol Min ER %</t>
        </is>
      </c>
      <c r="C25" s="62">
        <f>ASSUMPTIONS!C47</f>
        <v/>
      </c>
      <c r="D25" s="67" t="n">
        <v>0.03</v>
      </c>
      <c r="E25" s="119">
        <f>IF(C25&gt;=0.03,"✓ Meets AE min","⚠ Below AE minimum")</f>
        <v/>
      </c>
    </row>
    <row r="26" ht="18" customHeight="1">
      <c r="B26" s="94" t="inlineStr">
        <is>
          <t>Annual Allowance £</t>
        </is>
      </c>
      <c r="C26" s="55">
        <f>ASSUMPTIONS!C40</f>
        <v/>
      </c>
      <c r="D26" s="52" t="n">
        <v>60000</v>
      </c>
      <c r="E26" s="119">
        <f>IF(C26&gt;=60000,"✓","⚠ Check AA")</f>
        <v/>
      </c>
    </row>
    <row r="29" ht="22" customHeight="1">
      <c r="B29" s="120" t="inlineStr">
        <is>
          <t>MODELLING RISKS &amp; LIMITATIONS</t>
        </is>
      </c>
      <c r="C29" s="121" t="n"/>
      <c r="D29" s="121" t="n"/>
      <c r="E29" s="122" t="n"/>
    </row>
    <row r="30" ht="22" customHeight="1">
      <c r="B30" s="123" t="inlineStr">
        <is>
          <t>⚠  Scottish Income Tax not modelled — add separate tax table for Scottish residents</t>
        </is>
      </c>
    </row>
    <row r="31" ht="22" customHeight="1">
      <c r="B31" s="124" t="inlineStr">
        <is>
          <t>⚠  Welsh rates mirror England/NI — no difference applied in this model</t>
        </is>
      </c>
    </row>
    <row r="32" ht="22" customHeight="1">
      <c r="B32" s="123" t="inlineStr">
        <is>
          <t>⚠  NI Category assumed 'A' for all employees — update for Directors, married women, etc.</t>
        </is>
      </c>
    </row>
    <row r="33" ht="22" customHeight="1">
      <c r="B33" s="124" t="inlineStr">
        <is>
          <t>⚠  Pension taper annual allowance not modelled (&gt;£260k adjusted income threshold)</t>
        </is>
      </c>
    </row>
    <row r="34" ht="22" customHeight="1">
      <c r="B34" s="123" t="inlineStr">
        <is>
          <t>⚠  Bonus sacrifice not split out separately — model treats all earnings uniformly per basis setting</t>
        </is>
      </c>
    </row>
    <row r="35" ht="22" customHeight="1">
      <c r="B35" s="124" t="inlineStr">
        <is>
          <t>⚠  No student loan deductions modelled — add Plan 1/2/4/Postgrad threshold table</t>
        </is>
      </c>
    </row>
    <row r="36" ht="22" customHeight="1">
      <c r="B36" s="123" t="inlineStr">
        <is>
          <t>⚠  Employment Allowance eligibility not verified per employee — confirm with payroll provider</t>
        </is>
      </c>
    </row>
    <row r="37" ht="22" customHeight="1">
      <c r="B37" s="124" t="inlineStr">
        <is>
          <t>⚠  This model uses annual figures; monthly payroll timing differences not captured</t>
        </is>
      </c>
    </row>
    <row r="38" ht="22" customHeight="1">
      <c r="B38" s="123" t="inlineStr">
        <is>
          <t>⚠  Salary sacrifice below National Minimum Wage is prohibited — add NMW check per employee</t>
        </is>
      </c>
    </row>
    <row r="39" ht="22" customHeight="1">
      <c r="B39" s="124" t="inlineStr">
        <is>
          <t>⚠  Benefits in Kind (company cars, BUPA etc.) excluded — these affect NI calculations</t>
        </is>
      </c>
    </row>
    <row r="40" ht="22" customHeight="1">
      <c r="B40" s="123" t="inlineStr">
        <is>
          <t>⚠  TUPE employees may have protected pension rights — verify before applying SS</t>
        </is>
      </c>
    </row>
    <row r="41" ht="22" customHeight="1">
      <c r="B41" s="124" t="inlineStr">
        <is>
          <t>⚠  This is a modelling tool only — always verify outputs with a qualified payroll/pensions adviser</t>
        </is>
      </c>
    </row>
  </sheetData>
  <mergeCells count="16">
    <mergeCell ref="B31:E31"/>
    <mergeCell ref="B17:E17"/>
    <mergeCell ref="B40:E40"/>
    <mergeCell ref="B41:E41"/>
    <mergeCell ref="B35:E35"/>
    <mergeCell ref="B37:E37"/>
    <mergeCell ref="A1:F1"/>
    <mergeCell ref="B30:E30"/>
    <mergeCell ref="B38:E38"/>
    <mergeCell ref="B29:E29"/>
    <mergeCell ref="B33:E33"/>
    <mergeCell ref="B39:E39"/>
    <mergeCell ref="B3:E3"/>
    <mergeCell ref="B34:E34"/>
    <mergeCell ref="B36:E36"/>
    <mergeCell ref="B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Financial Services Model Builder</dc:creator>
  <dc:title>UK Pension Salary Sacrifice Model</dc:title>
  <dc:description>Professional UK salary sacrifice pension model covering employee take-home, employer NI optimisation, qualifying earnings vs full salary basis, and NI saving disposition analysis.</dc:description>
  <dc:subject>Pension / Payroll Financial Modelling</dc:subject>
  <dcterms:created xsi:type="dcterms:W3CDTF">2026-05-09T13:21:42Z</dcterms:created>
  <dcterms:modified xsi:type="dcterms:W3CDTF">2026-05-09T13:21:42Z</dcterms:modified>
  <cp:keywords>salary sacrifice, pension, NI, PAYE, payroll, UK</cp:keywords>
</cp:coreProperties>
</file>